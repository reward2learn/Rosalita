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graha\Documents\"/>
    </mc:Choice>
  </mc:AlternateContent>
  <xr:revisionPtr revIDLastSave="0" documentId="13_ncr:1_{9EA30C29-671C-4EE9-8C18-ED2D80AB5F5D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Rosalita" sheetId="4" r:id="rId1"/>
    <sheet name="2027" sheetId="12" r:id="rId2"/>
    <sheet name="2028" sheetId="13" r:id="rId3"/>
    <sheet name="2029" sheetId="14" r:id="rId4"/>
    <sheet name="2030" sheetId="15" r:id="rId5"/>
  </sheets>
  <calcPr calcId="181029"/>
</workbook>
</file>

<file path=xl/calcChain.xml><?xml version="1.0" encoding="utf-8"?>
<calcChain xmlns="http://schemas.openxmlformats.org/spreadsheetml/2006/main">
  <c r="J8" i="4" l="1"/>
  <c r="K8" i="4" s="1"/>
  <c r="L8" i="4" s="1"/>
  <c r="M8" i="4" s="1"/>
  <c r="N8" i="4" s="1"/>
  <c r="O8" i="4" s="1"/>
  <c r="I8" i="4"/>
  <c r="H104" i="4"/>
  <c r="O15" i="15"/>
  <c r="N15" i="15"/>
  <c r="M15" i="15"/>
  <c r="L15" i="15"/>
  <c r="K15" i="15"/>
  <c r="J15" i="15"/>
  <c r="I15" i="15"/>
  <c r="H15" i="15"/>
  <c r="G15" i="15"/>
  <c r="F15" i="15"/>
  <c r="E15" i="15"/>
  <c r="D15" i="15"/>
  <c r="O15" i="14"/>
  <c r="N15" i="14"/>
  <c r="M15" i="14"/>
  <c r="L15" i="14"/>
  <c r="K15" i="14"/>
  <c r="J15" i="14"/>
  <c r="I15" i="14"/>
  <c r="H15" i="14"/>
  <c r="G15" i="14"/>
  <c r="F15" i="14"/>
  <c r="E15" i="14"/>
  <c r="D15" i="14"/>
  <c r="D15" i="13"/>
  <c r="E15" i="13" s="1"/>
  <c r="F15" i="13" s="1"/>
  <c r="G15" i="13" s="1"/>
  <c r="H15" i="13" s="1"/>
  <c r="I15" i="13" s="1"/>
  <c r="J15" i="13" s="1"/>
  <c r="K15" i="13" s="1"/>
  <c r="L15" i="13" s="1"/>
  <c r="M15" i="13" s="1"/>
  <c r="N15" i="13" s="1"/>
  <c r="O15" i="13" s="1"/>
  <c r="O9" i="15"/>
  <c r="O9" i="13"/>
  <c r="P54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P45" i="15"/>
  <c r="O41" i="15"/>
  <c r="N41" i="15"/>
  <c r="M41" i="15"/>
  <c r="L41" i="15"/>
  <c r="K41" i="15"/>
  <c r="J41" i="15"/>
  <c r="I41" i="15"/>
  <c r="H41" i="15"/>
  <c r="G41" i="15"/>
  <c r="P41" i="15" s="1"/>
  <c r="F41" i="15"/>
  <c r="E41" i="15"/>
  <c r="D41" i="15"/>
  <c r="P40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P39" i="15" s="1"/>
  <c r="O37" i="15"/>
  <c r="N37" i="15"/>
  <c r="M37" i="15"/>
  <c r="L37" i="15"/>
  <c r="K37" i="15"/>
  <c r="J37" i="15"/>
  <c r="I37" i="15"/>
  <c r="H37" i="15"/>
  <c r="G37" i="15"/>
  <c r="F37" i="15"/>
  <c r="E37" i="15"/>
  <c r="D37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P34" i="15"/>
  <c r="E11" i="15"/>
  <c r="E10" i="15"/>
  <c r="D10" i="15"/>
  <c r="D19" i="15" s="1"/>
  <c r="F9" i="15"/>
  <c r="P6" i="15"/>
  <c r="P54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P40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P34" i="14"/>
  <c r="D14" i="14"/>
  <c r="E11" i="14"/>
  <c r="F11" i="14" s="1"/>
  <c r="E10" i="14"/>
  <c r="E13" i="14" s="1"/>
  <c r="D10" i="14"/>
  <c r="D19" i="14" s="1"/>
  <c r="F9" i="14"/>
  <c r="G9" i="14" s="1"/>
  <c r="H9" i="14" s="1"/>
  <c r="P6" i="14"/>
  <c r="P54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P42" i="13"/>
  <c r="P45" i="13" s="1"/>
  <c r="O41" i="13"/>
  <c r="N41" i="13"/>
  <c r="M41" i="13"/>
  <c r="L41" i="13"/>
  <c r="K41" i="13"/>
  <c r="J41" i="13"/>
  <c r="I41" i="13"/>
  <c r="H41" i="13"/>
  <c r="G41" i="13"/>
  <c r="F41" i="13"/>
  <c r="E41" i="13"/>
  <c r="D41" i="13"/>
  <c r="P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O37" i="13"/>
  <c r="N37" i="13"/>
  <c r="M37" i="13"/>
  <c r="L37" i="13"/>
  <c r="K37" i="13"/>
  <c r="J37" i="13"/>
  <c r="I37" i="13"/>
  <c r="H37" i="13"/>
  <c r="P37" i="13" s="1"/>
  <c r="G37" i="13"/>
  <c r="F37" i="13"/>
  <c r="E37" i="13"/>
  <c r="D37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P34" i="13"/>
  <c r="D19" i="13"/>
  <c r="E11" i="13"/>
  <c r="E10" i="13"/>
  <c r="D10" i="13"/>
  <c r="D14" i="13" s="1"/>
  <c r="F9" i="13"/>
  <c r="P6" i="13"/>
  <c r="I9" i="12"/>
  <c r="J9" i="12" s="1"/>
  <c r="K9" i="12" s="1"/>
  <c r="L9" i="12" s="1"/>
  <c r="M9" i="12" s="1"/>
  <c r="N9" i="12" s="1"/>
  <c r="O9" i="12" s="1"/>
  <c r="F9" i="12"/>
  <c r="G9" i="12" s="1"/>
  <c r="H9" i="12" s="1"/>
  <c r="G45" i="4"/>
  <c r="F45" i="4"/>
  <c r="E45" i="4"/>
  <c r="D45" i="4"/>
  <c r="H73" i="4"/>
  <c r="H82" i="4" s="1"/>
  <c r="P82" i="4" s="1"/>
  <c r="H79" i="4"/>
  <c r="H37" i="4"/>
  <c r="H40" i="4" s="1"/>
  <c r="H41" i="4" s="1"/>
  <c r="G79" i="4"/>
  <c r="F79" i="4"/>
  <c r="E79" i="4"/>
  <c r="D79" i="4"/>
  <c r="G73" i="4"/>
  <c r="F73" i="4"/>
  <c r="E73" i="4"/>
  <c r="D73" i="4"/>
  <c r="H29" i="4"/>
  <c r="H24" i="4" s="1"/>
  <c r="H45" i="4"/>
  <c r="O45" i="12"/>
  <c r="N45" i="12"/>
  <c r="M45" i="12"/>
  <c r="L45" i="12"/>
  <c r="K45" i="12"/>
  <c r="J45" i="12"/>
  <c r="I45" i="12"/>
  <c r="H45" i="12"/>
  <c r="G45" i="12"/>
  <c r="F45" i="12"/>
  <c r="E45" i="12"/>
  <c r="D45" i="12"/>
  <c r="G40" i="4"/>
  <c r="G86" i="4" s="1"/>
  <c r="O86" i="4"/>
  <c r="N86" i="4"/>
  <c r="M86" i="4"/>
  <c r="L86" i="4"/>
  <c r="K86" i="4"/>
  <c r="J86" i="4"/>
  <c r="I86" i="4"/>
  <c r="O89" i="4"/>
  <c r="N89" i="4"/>
  <c r="M89" i="4"/>
  <c r="L89" i="4"/>
  <c r="K89" i="4"/>
  <c r="J89" i="4"/>
  <c r="I89" i="4"/>
  <c r="H89" i="4"/>
  <c r="G89" i="4"/>
  <c r="F89" i="4"/>
  <c r="E89" i="4"/>
  <c r="D89" i="4"/>
  <c r="O96" i="4"/>
  <c r="N96" i="4"/>
  <c r="M96" i="4"/>
  <c r="L96" i="4"/>
  <c r="K96" i="4"/>
  <c r="J96" i="4"/>
  <c r="I96" i="4"/>
  <c r="F40" i="4"/>
  <c r="F86" i="4" s="1"/>
  <c r="E40" i="4"/>
  <c r="E86" i="4" s="1"/>
  <c r="D40" i="4"/>
  <c r="D86" i="4" s="1"/>
  <c r="P34" i="12"/>
  <c r="D19" i="4"/>
  <c r="E19" i="4" s="1"/>
  <c r="F19" i="4" s="1"/>
  <c r="G19" i="4" s="1"/>
  <c r="H19" i="4" s="1"/>
  <c r="D29" i="4"/>
  <c r="D24" i="4" s="1"/>
  <c r="F29" i="4"/>
  <c r="F21" i="4" s="1"/>
  <c r="F96" i="4" s="1"/>
  <c r="E29" i="4"/>
  <c r="E24" i="4" s="1"/>
  <c r="G29" i="4"/>
  <c r="G21" i="4" s="1"/>
  <c r="G96" i="4" s="1"/>
  <c r="G35" i="12"/>
  <c r="F35" i="12"/>
  <c r="E35" i="12"/>
  <c r="D35" i="12"/>
  <c r="H35" i="12"/>
  <c r="P54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P40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P38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O35" i="12"/>
  <c r="N35" i="12"/>
  <c r="M35" i="12"/>
  <c r="L35" i="12"/>
  <c r="K35" i="12"/>
  <c r="J35" i="12"/>
  <c r="I35" i="12"/>
  <c r="E15" i="12"/>
  <c r="F15" i="12" s="1"/>
  <c r="G15" i="12" s="1"/>
  <c r="H15" i="12" s="1"/>
  <c r="I15" i="12" s="1"/>
  <c r="J15" i="12" s="1"/>
  <c r="K15" i="12" s="1"/>
  <c r="L15" i="12" s="1"/>
  <c r="M15" i="12" s="1"/>
  <c r="N15" i="12" s="1"/>
  <c r="O15" i="12" s="1"/>
  <c r="E11" i="12"/>
  <c r="F11" i="12" s="1"/>
  <c r="D10" i="12"/>
  <c r="D19" i="12" s="1"/>
  <c r="P6" i="12"/>
  <c r="F8" i="4"/>
  <c r="G8" i="4" s="1"/>
  <c r="H8" i="4" s="1"/>
  <c r="P56" i="4"/>
  <c r="P54" i="4"/>
  <c r="P52" i="4"/>
  <c r="P50" i="4"/>
  <c r="P48" i="4"/>
  <c r="P69" i="4"/>
  <c r="E10" i="4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E44" i="15" l="1"/>
  <c r="E46" i="15" s="1"/>
  <c r="M44" i="15"/>
  <c r="K44" i="14"/>
  <c r="P43" i="14"/>
  <c r="J44" i="15"/>
  <c r="J46" i="15" s="1"/>
  <c r="P43" i="15"/>
  <c r="D44" i="15"/>
  <c r="D46" i="15" s="1"/>
  <c r="I44" i="15"/>
  <c r="I46" i="15" s="1"/>
  <c r="L44" i="15"/>
  <c r="L46" i="15" s="1"/>
  <c r="L44" i="14"/>
  <c r="L46" i="14" s="1"/>
  <c r="D44" i="14"/>
  <c r="D46" i="14" s="1"/>
  <c r="P39" i="14"/>
  <c r="F44" i="14"/>
  <c r="F46" i="14" s="1"/>
  <c r="N44" i="14"/>
  <c r="N46" i="14" s="1"/>
  <c r="P37" i="14"/>
  <c r="D44" i="13"/>
  <c r="L44" i="13"/>
  <c r="L46" i="13" s="1"/>
  <c r="J44" i="13"/>
  <c r="J46" i="13" s="1"/>
  <c r="P41" i="13"/>
  <c r="K44" i="13"/>
  <c r="K46" i="13" s="1"/>
  <c r="M44" i="13"/>
  <c r="M46" i="13" s="1"/>
  <c r="E13" i="15"/>
  <c r="E14" i="13"/>
  <c r="E14" i="15"/>
  <c r="E19" i="14"/>
  <c r="F10" i="14"/>
  <c r="F13" i="14" s="1"/>
  <c r="D13" i="14"/>
  <c r="D13" i="13"/>
  <c r="P37" i="15"/>
  <c r="H44" i="15"/>
  <c r="H46" i="15" s="1"/>
  <c r="F10" i="15"/>
  <c r="G9" i="15"/>
  <c r="F11" i="15"/>
  <c r="G11" i="15" s="1"/>
  <c r="H11" i="15" s="1"/>
  <c r="I11" i="15" s="1"/>
  <c r="J11" i="15" s="1"/>
  <c r="K11" i="15" s="1"/>
  <c r="L11" i="15" s="1"/>
  <c r="M11" i="15" s="1"/>
  <c r="N11" i="15" s="1"/>
  <c r="O11" i="15" s="1"/>
  <c r="P35" i="15"/>
  <c r="K44" i="15"/>
  <c r="K46" i="15" s="1"/>
  <c r="M46" i="15"/>
  <c r="D14" i="15"/>
  <c r="P15" i="15"/>
  <c r="E19" i="15"/>
  <c r="D13" i="15"/>
  <c r="F44" i="15"/>
  <c r="F46" i="15" s="1"/>
  <c r="N44" i="15"/>
  <c r="N46" i="15" s="1"/>
  <c r="G44" i="15"/>
  <c r="G46" i="15" s="1"/>
  <c r="O44" i="15"/>
  <c r="O46" i="15" s="1"/>
  <c r="G10" i="14"/>
  <c r="I9" i="14"/>
  <c r="H10" i="14"/>
  <c r="O44" i="14"/>
  <c r="O46" i="14" s="1"/>
  <c r="G11" i="14"/>
  <c r="H11" i="14" s="1"/>
  <c r="I11" i="14" s="1"/>
  <c r="J11" i="14" s="1"/>
  <c r="K11" i="14" s="1"/>
  <c r="L11" i="14" s="1"/>
  <c r="M11" i="14" s="1"/>
  <c r="N11" i="14" s="1"/>
  <c r="O11" i="14" s="1"/>
  <c r="P15" i="14"/>
  <c r="I44" i="14"/>
  <c r="I46" i="14" s="1"/>
  <c r="J44" i="14"/>
  <c r="J46" i="14" s="1"/>
  <c r="P41" i="14"/>
  <c r="G44" i="14"/>
  <c r="G46" i="14" s="1"/>
  <c r="P45" i="14"/>
  <c r="K46" i="14"/>
  <c r="E14" i="14"/>
  <c r="E16" i="14" s="1"/>
  <c r="E65" i="14" s="1"/>
  <c r="F19" i="14"/>
  <c r="P35" i="14"/>
  <c r="F14" i="14"/>
  <c r="F16" i="14" s="1"/>
  <c r="F65" i="14" s="1"/>
  <c r="E44" i="14"/>
  <c r="E46" i="14" s="1"/>
  <c r="M44" i="14"/>
  <c r="M46" i="14" s="1"/>
  <c r="H44" i="14"/>
  <c r="H46" i="14" s="1"/>
  <c r="G44" i="13"/>
  <c r="G46" i="13" s="1"/>
  <c r="O44" i="13"/>
  <c r="O46" i="13" s="1"/>
  <c r="P39" i="13"/>
  <c r="E44" i="13"/>
  <c r="E46" i="13" s="1"/>
  <c r="P11" i="13"/>
  <c r="P15" i="13"/>
  <c r="D16" i="13"/>
  <c r="D17" i="13" s="1"/>
  <c r="H44" i="13"/>
  <c r="H46" i="13" s="1"/>
  <c r="P35" i="13"/>
  <c r="F44" i="13"/>
  <c r="F46" i="13" s="1"/>
  <c r="N44" i="13"/>
  <c r="N46" i="13" s="1"/>
  <c r="F10" i="13"/>
  <c r="D46" i="13"/>
  <c r="I44" i="13"/>
  <c r="I46" i="13" s="1"/>
  <c r="E13" i="13"/>
  <c r="E19" i="13"/>
  <c r="G9" i="13"/>
  <c r="F11" i="13"/>
  <c r="G11" i="13" s="1"/>
  <c r="H11" i="13" s="1"/>
  <c r="I11" i="13" s="1"/>
  <c r="J11" i="13" s="1"/>
  <c r="K11" i="13" s="1"/>
  <c r="L11" i="13" s="1"/>
  <c r="M11" i="13" s="1"/>
  <c r="N11" i="13" s="1"/>
  <c r="O11" i="13" s="1"/>
  <c r="P43" i="13"/>
  <c r="D41" i="4"/>
  <c r="E41" i="4"/>
  <c r="H86" i="4"/>
  <c r="P86" i="4" s="1"/>
  <c r="F41" i="4"/>
  <c r="G41" i="4"/>
  <c r="H21" i="4"/>
  <c r="H96" i="4" s="1"/>
  <c r="N44" i="12"/>
  <c r="N46" i="12" s="1"/>
  <c r="D44" i="12"/>
  <c r="D46" i="12" s="1"/>
  <c r="J44" i="12"/>
  <c r="J46" i="12" s="1"/>
  <c r="H44" i="12"/>
  <c r="H46" i="12" s="1"/>
  <c r="E44" i="12"/>
  <c r="E46" i="12" s="1"/>
  <c r="P45" i="12"/>
  <c r="F44" i="12"/>
  <c r="F46" i="12" s="1"/>
  <c r="G44" i="12"/>
  <c r="G46" i="12" s="1"/>
  <c r="L44" i="12"/>
  <c r="L46" i="12" s="1"/>
  <c r="K44" i="12"/>
  <c r="K46" i="12" s="1"/>
  <c r="M44" i="12"/>
  <c r="M46" i="12" s="1"/>
  <c r="O44" i="12"/>
  <c r="O46" i="12" s="1"/>
  <c r="I44" i="12"/>
  <c r="I46" i="12" s="1"/>
  <c r="G24" i="4"/>
  <c r="F24" i="4"/>
  <c r="E21" i="4"/>
  <c r="E96" i="4" s="1"/>
  <c r="D30" i="4"/>
  <c r="E30" i="4" s="1"/>
  <c r="F30" i="4" s="1"/>
  <c r="G30" i="4" s="1"/>
  <c r="H30" i="4" s="1"/>
  <c r="D21" i="4"/>
  <c r="D96" i="4" s="1"/>
  <c r="P41" i="12"/>
  <c r="D14" i="12"/>
  <c r="P35" i="12"/>
  <c r="E10" i="12"/>
  <c r="E13" i="12" s="1"/>
  <c r="G11" i="12"/>
  <c r="H11" i="12" s="1"/>
  <c r="I11" i="12" s="1"/>
  <c r="J11" i="12" s="1"/>
  <c r="K11" i="12" s="1"/>
  <c r="L11" i="12" s="1"/>
  <c r="M11" i="12" s="1"/>
  <c r="N11" i="12" s="1"/>
  <c r="O11" i="12" s="1"/>
  <c r="P43" i="12"/>
  <c r="P15" i="12"/>
  <c r="P37" i="12"/>
  <c r="P39" i="12"/>
  <c r="D13" i="12"/>
  <c r="P10" i="4"/>
  <c r="E16" i="15" l="1"/>
  <c r="E65" i="15" s="1"/>
  <c r="D16" i="14"/>
  <c r="D65" i="14" s="1"/>
  <c r="H9" i="15"/>
  <c r="G10" i="15"/>
  <c r="F13" i="15"/>
  <c r="F19" i="15"/>
  <c r="F14" i="15"/>
  <c r="D16" i="15"/>
  <c r="P44" i="15"/>
  <c r="P46" i="15" s="1"/>
  <c r="P11" i="15"/>
  <c r="P44" i="14"/>
  <c r="P46" i="14" s="1"/>
  <c r="H13" i="14"/>
  <c r="H14" i="14"/>
  <c r="H19" i="14"/>
  <c r="F17" i="14"/>
  <c r="F47" i="14" s="1"/>
  <c r="E17" i="14"/>
  <c r="E47" i="14" s="1"/>
  <c r="J9" i="14"/>
  <c r="I10" i="14"/>
  <c r="G13" i="14"/>
  <c r="G19" i="14"/>
  <c r="G14" i="14"/>
  <c r="P11" i="14"/>
  <c r="D56" i="13"/>
  <c r="D60" i="13"/>
  <c r="D49" i="13"/>
  <c r="D53" i="13"/>
  <c r="D26" i="13"/>
  <c r="D20" i="13"/>
  <c r="D21" i="13" s="1"/>
  <c r="D61" i="13"/>
  <c r="D18" i="13"/>
  <c r="D28" i="13"/>
  <c r="D27" i="13"/>
  <c r="D25" i="13"/>
  <c r="D55" i="13"/>
  <c r="D50" i="13"/>
  <c r="D59" i="13"/>
  <c r="E16" i="13"/>
  <c r="E65" i="13" s="1"/>
  <c r="H9" i="13"/>
  <c r="G10" i="13"/>
  <c r="P44" i="13"/>
  <c r="P46" i="13" s="1"/>
  <c r="D47" i="13"/>
  <c r="D65" i="13"/>
  <c r="F13" i="13"/>
  <c r="F19" i="13"/>
  <c r="F14" i="13"/>
  <c r="P44" i="12"/>
  <c r="P46" i="12" s="1"/>
  <c r="D16" i="12"/>
  <c r="D65" i="12" s="1"/>
  <c r="E19" i="12"/>
  <c r="E14" i="12"/>
  <c r="F10" i="12"/>
  <c r="P11" i="12"/>
  <c r="E14" i="4"/>
  <c r="D9" i="4"/>
  <c r="D12" i="4" s="1"/>
  <c r="P5" i="4"/>
  <c r="P74" i="4"/>
  <c r="O59" i="4"/>
  <c r="N59" i="4"/>
  <c r="M59" i="4"/>
  <c r="L59" i="4"/>
  <c r="K59" i="4"/>
  <c r="J59" i="4"/>
  <c r="I59" i="4"/>
  <c r="H59" i="4"/>
  <c r="G59" i="4"/>
  <c r="F59" i="4"/>
  <c r="E59" i="4"/>
  <c r="D59" i="4"/>
  <c r="O57" i="4"/>
  <c r="N57" i="4"/>
  <c r="M57" i="4"/>
  <c r="L57" i="4"/>
  <c r="K57" i="4"/>
  <c r="J57" i="4"/>
  <c r="I57" i="4"/>
  <c r="H57" i="4"/>
  <c r="G57" i="4"/>
  <c r="F57" i="4"/>
  <c r="E57" i="4"/>
  <c r="D57" i="4"/>
  <c r="O55" i="4"/>
  <c r="N55" i="4"/>
  <c r="M55" i="4"/>
  <c r="L55" i="4"/>
  <c r="K55" i="4"/>
  <c r="J55" i="4"/>
  <c r="I55" i="4"/>
  <c r="H55" i="4"/>
  <c r="G55" i="4"/>
  <c r="F55" i="4"/>
  <c r="E55" i="4"/>
  <c r="D55" i="4"/>
  <c r="O53" i="4"/>
  <c r="N53" i="4"/>
  <c r="M53" i="4"/>
  <c r="L53" i="4"/>
  <c r="K53" i="4"/>
  <c r="J53" i="4"/>
  <c r="I53" i="4"/>
  <c r="H53" i="4"/>
  <c r="G53" i="4"/>
  <c r="F53" i="4"/>
  <c r="E53" i="4"/>
  <c r="D53" i="4"/>
  <c r="O51" i="4"/>
  <c r="N51" i="4"/>
  <c r="M51" i="4"/>
  <c r="L51" i="4"/>
  <c r="K51" i="4"/>
  <c r="J51" i="4"/>
  <c r="I51" i="4"/>
  <c r="H51" i="4"/>
  <c r="G51" i="4"/>
  <c r="F51" i="4"/>
  <c r="E51" i="4"/>
  <c r="D51" i="4"/>
  <c r="O49" i="4"/>
  <c r="N49" i="4"/>
  <c r="M49" i="4"/>
  <c r="L49" i="4"/>
  <c r="K49" i="4"/>
  <c r="J49" i="4"/>
  <c r="I49" i="4"/>
  <c r="H49" i="4"/>
  <c r="G49" i="4"/>
  <c r="F49" i="4"/>
  <c r="E49" i="4"/>
  <c r="D49" i="4"/>
  <c r="O47" i="4"/>
  <c r="N47" i="4"/>
  <c r="M47" i="4"/>
  <c r="L47" i="4"/>
  <c r="K47" i="4"/>
  <c r="J47" i="4"/>
  <c r="I47" i="4"/>
  <c r="H47" i="4"/>
  <c r="G47" i="4"/>
  <c r="F47" i="4"/>
  <c r="E47" i="4"/>
  <c r="D47" i="4"/>
  <c r="O45" i="4"/>
  <c r="N45" i="4"/>
  <c r="M45" i="4"/>
  <c r="L45" i="4"/>
  <c r="K45" i="4"/>
  <c r="J45" i="4"/>
  <c r="I45" i="4"/>
  <c r="E9" i="4"/>
  <c r="E17" i="15" l="1"/>
  <c r="D17" i="14"/>
  <c r="G13" i="15"/>
  <c r="G14" i="15"/>
  <c r="G19" i="15"/>
  <c r="I9" i="15"/>
  <c r="H10" i="15"/>
  <c r="F16" i="15"/>
  <c r="F65" i="15" s="1"/>
  <c r="F17" i="15"/>
  <c r="D65" i="15"/>
  <c r="D17" i="15"/>
  <c r="G16" i="14"/>
  <c r="G17" i="14" s="1"/>
  <c r="I14" i="14"/>
  <c r="I19" i="14"/>
  <c r="I13" i="14"/>
  <c r="H16" i="14"/>
  <c r="H65" i="14" s="1"/>
  <c r="K9" i="14"/>
  <c r="J10" i="14"/>
  <c r="E60" i="14"/>
  <c r="E28" i="14"/>
  <c r="E55" i="14"/>
  <c r="E49" i="14"/>
  <c r="E51" i="14" s="1"/>
  <c r="E53" i="14"/>
  <c r="E26" i="14"/>
  <c r="E20" i="14"/>
  <c r="E21" i="14" s="1"/>
  <c r="E50" i="14"/>
  <c r="E61" i="14"/>
  <c r="E59" i="14"/>
  <c r="E62" i="14" s="1"/>
  <c r="E27" i="14"/>
  <c r="E25" i="14"/>
  <c r="E56" i="14"/>
  <c r="F49" i="14"/>
  <c r="F53" i="14"/>
  <c r="F26" i="14"/>
  <c r="F20" i="14"/>
  <c r="F21" i="14" s="1"/>
  <c r="F61" i="14"/>
  <c r="F59" i="14"/>
  <c r="F55" i="14"/>
  <c r="F50" i="14"/>
  <c r="F56" i="14"/>
  <c r="F25" i="14"/>
  <c r="F60" i="14"/>
  <c r="F27" i="14"/>
  <c r="F28" i="14"/>
  <c r="D23" i="13"/>
  <c r="D22" i="13"/>
  <c r="D12" i="13"/>
  <c r="D29" i="13"/>
  <c r="D57" i="13"/>
  <c r="D51" i="13"/>
  <c r="D62" i="13"/>
  <c r="E17" i="13"/>
  <c r="E18" i="13" s="1"/>
  <c r="F16" i="13"/>
  <c r="F65" i="13" s="1"/>
  <c r="I9" i="13"/>
  <c r="H10" i="13"/>
  <c r="C65" i="13"/>
  <c r="G19" i="13"/>
  <c r="G14" i="13"/>
  <c r="G13" i="13"/>
  <c r="D17" i="12"/>
  <c r="D28" i="12" s="1"/>
  <c r="E16" i="12"/>
  <c r="E65" i="12" s="1"/>
  <c r="G10" i="12"/>
  <c r="F19" i="12"/>
  <c r="F13" i="12"/>
  <c r="F14" i="12"/>
  <c r="E13" i="4"/>
  <c r="F58" i="4"/>
  <c r="F60" i="4" s="1"/>
  <c r="E22" i="4"/>
  <c r="E12" i="4"/>
  <c r="D13" i="4"/>
  <c r="D15" i="4" s="1"/>
  <c r="D22" i="4"/>
  <c r="F14" i="4"/>
  <c r="G14" i="4" s="1"/>
  <c r="H14" i="4" s="1"/>
  <c r="I58" i="4"/>
  <c r="I60" i="4" s="1"/>
  <c r="P55" i="4"/>
  <c r="D58" i="4"/>
  <c r="D60" i="4" s="1"/>
  <c r="L58" i="4"/>
  <c r="L60" i="4" s="1"/>
  <c r="F9" i="4"/>
  <c r="P49" i="4"/>
  <c r="P53" i="4"/>
  <c r="N58" i="4"/>
  <c r="N60" i="4" s="1"/>
  <c r="E58" i="4"/>
  <c r="E60" i="4" s="1"/>
  <c r="M58" i="4"/>
  <c r="M60" i="4" s="1"/>
  <c r="G58" i="4"/>
  <c r="G60" i="4" s="1"/>
  <c r="O58" i="4"/>
  <c r="O60" i="4" s="1"/>
  <c r="P57" i="4"/>
  <c r="H58" i="4"/>
  <c r="H60" i="4" s="1"/>
  <c r="P45" i="4"/>
  <c r="P47" i="4"/>
  <c r="P51" i="4"/>
  <c r="K58" i="4"/>
  <c r="K60" i="4" s="1"/>
  <c r="J58" i="4"/>
  <c r="J60" i="4" s="1"/>
  <c r="E53" i="15" l="1"/>
  <c r="E25" i="15"/>
  <c r="E56" i="15"/>
  <c r="E26" i="15"/>
  <c r="E59" i="15"/>
  <c r="E20" i="15"/>
  <c r="E21" i="15"/>
  <c r="E61" i="15"/>
  <c r="E49" i="15"/>
  <c r="E27" i="15"/>
  <c r="E47" i="15"/>
  <c r="E60" i="15"/>
  <c r="E55" i="15"/>
  <c r="E28" i="15"/>
  <c r="E50" i="15"/>
  <c r="D26" i="14"/>
  <c r="D25" i="14"/>
  <c r="D55" i="14"/>
  <c r="D50" i="14"/>
  <c r="D56" i="14"/>
  <c r="D20" i="14"/>
  <c r="D21" i="14" s="1"/>
  <c r="D47" i="14"/>
  <c r="D60" i="14"/>
  <c r="D18" i="14"/>
  <c r="E18" i="14" s="1"/>
  <c r="F18" i="14" s="1"/>
  <c r="G18" i="14" s="1"/>
  <c r="H18" i="14" s="1"/>
  <c r="I18" i="14" s="1"/>
  <c r="D28" i="14"/>
  <c r="D59" i="14"/>
  <c r="D49" i="14"/>
  <c r="D51" i="14" s="1"/>
  <c r="D27" i="14"/>
  <c r="D61" i="14"/>
  <c r="D53" i="14"/>
  <c r="F51" i="14"/>
  <c r="C65" i="14"/>
  <c r="F49" i="15"/>
  <c r="F53" i="15"/>
  <c r="F26" i="15"/>
  <c r="F20" i="15"/>
  <c r="F21" i="15" s="1"/>
  <c r="F61" i="15"/>
  <c r="F55" i="15"/>
  <c r="F50" i="15"/>
  <c r="F59" i="15"/>
  <c r="F27" i="15"/>
  <c r="F60" i="15"/>
  <c r="F28" i="15"/>
  <c r="F25" i="15"/>
  <c r="F56" i="15"/>
  <c r="F47" i="15"/>
  <c r="D56" i="15"/>
  <c r="D25" i="15"/>
  <c r="D50" i="15"/>
  <c r="D60" i="15"/>
  <c r="D28" i="15"/>
  <c r="D55" i="15"/>
  <c r="D49" i="15"/>
  <c r="D53" i="15"/>
  <c r="D26" i="15"/>
  <c r="D20" i="15"/>
  <c r="D21" i="15" s="1"/>
  <c r="D61" i="15"/>
  <c r="D18" i="15"/>
  <c r="E18" i="15" s="1"/>
  <c r="F18" i="15" s="1"/>
  <c r="D27" i="15"/>
  <c r="D59" i="15"/>
  <c r="D47" i="15"/>
  <c r="C65" i="15"/>
  <c r="H13" i="15"/>
  <c r="H14" i="15"/>
  <c r="H19" i="15"/>
  <c r="G16" i="15"/>
  <c r="G65" i="15" s="1"/>
  <c r="J9" i="15"/>
  <c r="I10" i="15"/>
  <c r="F23" i="14"/>
  <c r="F12" i="14"/>
  <c r="E12" i="14"/>
  <c r="E23" i="14"/>
  <c r="E29" i="14"/>
  <c r="G53" i="14"/>
  <c r="G26" i="14"/>
  <c r="G20" i="14"/>
  <c r="G21" i="14" s="1"/>
  <c r="G61" i="14"/>
  <c r="G55" i="14"/>
  <c r="G50" i="14"/>
  <c r="G59" i="14"/>
  <c r="G27" i="14"/>
  <c r="G56" i="14"/>
  <c r="G25" i="14"/>
  <c r="G60" i="14"/>
  <c r="G28" i="14"/>
  <c r="G49" i="14"/>
  <c r="G47" i="14"/>
  <c r="F29" i="14"/>
  <c r="F57" i="14"/>
  <c r="E57" i="14"/>
  <c r="H17" i="14"/>
  <c r="G65" i="14"/>
  <c r="E63" i="14"/>
  <c r="I16" i="14"/>
  <c r="I65" i="14" s="1"/>
  <c r="I17" i="14"/>
  <c r="F62" i="14"/>
  <c r="K10" i="14"/>
  <c r="L9" i="14"/>
  <c r="J14" i="14"/>
  <c r="J19" i="14"/>
  <c r="J13" i="14"/>
  <c r="D72" i="13"/>
  <c r="C29" i="13"/>
  <c r="C31" i="13" s="1"/>
  <c r="C67" i="13" s="1"/>
  <c r="D30" i="13"/>
  <c r="G16" i="13"/>
  <c r="G17" i="13" s="1"/>
  <c r="F17" i="13"/>
  <c r="F18" i="13" s="1"/>
  <c r="D63" i="13"/>
  <c r="H14" i="13"/>
  <c r="H13" i="13"/>
  <c r="H19" i="13"/>
  <c r="E53" i="13"/>
  <c r="E26" i="13"/>
  <c r="E20" i="13"/>
  <c r="E21" i="13" s="1"/>
  <c r="E55" i="13"/>
  <c r="E61" i="13"/>
  <c r="E50" i="13"/>
  <c r="E56" i="13"/>
  <c r="E25" i="13"/>
  <c r="E60" i="13"/>
  <c r="E28" i="13"/>
  <c r="E27" i="13"/>
  <c r="E49" i="13"/>
  <c r="E59" i="13"/>
  <c r="E47" i="13"/>
  <c r="J9" i="13"/>
  <c r="I10" i="13"/>
  <c r="C65" i="12"/>
  <c r="D59" i="12"/>
  <c r="D26" i="12"/>
  <c r="D25" i="12"/>
  <c r="D53" i="12"/>
  <c r="E17" i="12"/>
  <c r="F16" i="12"/>
  <c r="F65" i="12" s="1"/>
  <c r="E15" i="4"/>
  <c r="E16" i="4" s="1"/>
  <c r="D16" i="4"/>
  <c r="G13" i="12"/>
  <c r="G14" i="12"/>
  <c r="G19" i="12"/>
  <c r="D56" i="12"/>
  <c r="D50" i="12"/>
  <c r="D18" i="12"/>
  <c r="D60" i="12"/>
  <c r="D55" i="12"/>
  <c r="D61" i="12"/>
  <c r="D27" i="12"/>
  <c r="D20" i="12"/>
  <c r="D21" i="12" s="1"/>
  <c r="D23" i="12" s="1"/>
  <c r="D49" i="12"/>
  <c r="D47" i="12"/>
  <c r="H10" i="12"/>
  <c r="F12" i="4"/>
  <c r="F22" i="4"/>
  <c r="F13" i="4"/>
  <c r="I14" i="4"/>
  <c r="P58" i="4"/>
  <c r="P60" i="4"/>
  <c r="E62" i="15" l="1"/>
  <c r="E12" i="15"/>
  <c r="E23" i="15"/>
  <c r="E29" i="15"/>
  <c r="E51" i="15"/>
  <c r="E57" i="15"/>
  <c r="D57" i="14"/>
  <c r="D23" i="14"/>
  <c r="D22" i="14"/>
  <c r="E22" i="14" s="1"/>
  <c r="F22" i="14" s="1"/>
  <c r="G22" i="14" s="1"/>
  <c r="D12" i="14"/>
  <c r="D62" i="14"/>
  <c r="D29" i="14"/>
  <c r="F57" i="15"/>
  <c r="F63" i="14"/>
  <c r="F64" i="14" s="1"/>
  <c r="G18" i="13"/>
  <c r="D22" i="15"/>
  <c r="E22" i="15" s="1"/>
  <c r="F22" i="15" s="1"/>
  <c r="D12" i="15"/>
  <c r="D23" i="15"/>
  <c r="F23" i="15"/>
  <c r="F12" i="15"/>
  <c r="D29" i="15"/>
  <c r="G17" i="15"/>
  <c r="G18" i="15" s="1"/>
  <c r="D62" i="15"/>
  <c r="D51" i="15"/>
  <c r="F51" i="15"/>
  <c r="F62" i="15"/>
  <c r="I14" i="15"/>
  <c r="I19" i="15"/>
  <c r="I13" i="15"/>
  <c r="H16" i="15"/>
  <c r="H17" i="15" s="1"/>
  <c r="D57" i="15"/>
  <c r="K9" i="15"/>
  <c r="J10" i="15"/>
  <c r="F29" i="15"/>
  <c r="F72" i="14"/>
  <c r="F30" i="14"/>
  <c r="G29" i="14"/>
  <c r="G23" i="14"/>
  <c r="G12" i="14"/>
  <c r="G57" i="14"/>
  <c r="J16" i="14"/>
  <c r="J17" i="14" s="1"/>
  <c r="E72" i="14"/>
  <c r="E30" i="14"/>
  <c r="L10" i="14"/>
  <c r="M9" i="14"/>
  <c r="I55" i="14"/>
  <c r="I50" i="14"/>
  <c r="I59" i="14"/>
  <c r="I27" i="14"/>
  <c r="I60" i="14"/>
  <c r="I56" i="14"/>
  <c r="I25" i="14"/>
  <c r="I49" i="14"/>
  <c r="I53" i="14"/>
  <c r="I26" i="14"/>
  <c r="I20" i="14"/>
  <c r="I21" i="14" s="1"/>
  <c r="I61" i="14"/>
  <c r="I28" i="14"/>
  <c r="I47" i="14"/>
  <c r="H61" i="14"/>
  <c r="H56" i="14"/>
  <c r="H55" i="14"/>
  <c r="H50" i="14"/>
  <c r="H59" i="14"/>
  <c r="H27" i="14"/>
  <c r="H60" i="14"/>
  <c r="H28" i="14"/>
  <c r="H49" i="14"/>
  <c r="H20" i="14"/>
  <c r="H21" i="14" s="1"/>
  <c r="H26" i="14"/>
  <c r="H25" i="14"/>
  <c r="H53" i="14"/>
  <c r="H47" i="14"/>
  <c r="G51" i="14"/>
  <c r="G62" i="14"/>
  <c r="E64" i="14"/>
  <c r="E71" i="14"/>
  <c r="K14" i="14"/>
  <c r="K19" i="14"/>
  <c r="K13" i="14"/>
  <c r="E23" i="13"/>
  <c r="E12" i="13"/>
  <c r="E22" i="13"/>
  <c r="D64" i="13"/>
  <c r="D71" i="13"/>
  <c r="D74" i="13" s="1"/>
  <c r="D75" i="13" s="1"/>
  <c r="G65" i="13"/>
  <c r="D66" i="13"/>
  <c r="D31" i="13"/>
  <c r="G61" i="13"/>
  <c r="G55" i="13"/>
  <c r="G50" i="13"/>
  <c r="G59" i="13"/>
  <c r="G27" i="13"/>
  <c r="G49" i="13"/>
  <c r="G53" i="13"/>
  <c r="G28" i="13"/>
  <c r="G26" i="13"/>
  <c r="G25" i="13"/>
  <c r="G20" i="13"/>
  <c r="G21" i="13" s="1"/>
  <c r="G60" i="13"/>
  <c r="G56" i="13"/>
  <c r="G47" i="13"/>
  <c r="E51" i="13"/>
  <c r="H16" i="13"/>
  <c r="H65" i="13" s="1"/>
  <c r="F61" i="13"/>
  <c r="F59" i="13"/>
  <c r="F55" i="13"/>
  <c r="F50" i="13"/>
  <c r="F60" i="13"/>
  <c r="F28" i="13"/>
  <c r="F56" i="13"/>
  <c r="F27" i="13"/>
  <c r="F26" i="13"/>
  <c r="F25" i="13"/>
  <c r="F20" i="13"/>
  <c r="F21" i="13" s="1"/>
  <c r="F53" i="13"/>
  <c r="F49" i="13"/>
  <c r="F47" i="13"/>
  <c r="E57" i="13"/>
  <c r="E29" i="13"/>
  <c r="E62" i="13"/>
  <c r="I14" i="13"/>
  <c r="I19" i="13"/>
  <c r="I13" i="13"/>
  <c r="K9" i="13"/>
  <c r="J10" i="13"/>
  <c r="E25" i="12"/>
  <c r="E28" i="12"/>
  <c r="E26" i="12"/>
  <c r="E35" i="4"/>
  <c r="E33" i="4"/>
  <c r="E32" i="4"/>
  <c r="D33" i="4"/>
  <c r="D32" i="4"/>
  <c r="D29" i="12"/>
  <c r="D72" i="12" s="1"/>
  <c r="D64" i="4"/>
  <c r="D35" i="4"/>
  <c r="D77" i="4"/>
  <c r="D25" i="4"/>
  <c r="D27" i="4" s="1"/>
  <c r="D11" i="4" s="1"/>
  <c r="D65" i="4"/>
  <c r="E18" i="12"/>
  <c r="F17" i="12"/>
  <c r="D34" i="4"/>
  <c r="G16" i="12"/>
  <c r="G65" i="12" s="1"/>
  <c r="E53" i="12"/>
  <c r="E56" i="12"/>
  <c r="E55" i="12"/>
  <c r="E49" i="12"/>
  <c r="E20" i="12"/>
  <c r="E21" i="12" s="1"/>
  <c r="E23" i="12" s="1"/>
  <c r="E50" i="12"/>
  <c r="E61" i="12"/>
  <c r="E47" i="12"/>
  <c r="E27" i="12"/>
  <c r="E60" i="12"/>
  <c r="E59" i="12"/>
  <c r="F15" i="4"/>
  <c r="F16" i="4" s="1"/>
  <c r="D75" i="4"/>
  <c r="D70" i="4"/>
  <c r="D17" i="4"/>
  <c r="E17" i="4" s="1"/>
  <c r="D71" i="4"/>
  <c r="D76" i="4"/>
  <c r="D61" i="4"/>
  <c r="I10" i="12"/>
  <c r="D51" i="12"/>
  <c r="D62" i="12"/>
  <c r="D57" i="12"/>
  <c r="D12" i="12"/>
  <c r="D22" i="12"/>
  <c r="H14" i="12"/>
  <c r="H19" i="12"/>
  <c r="H13" i="12"/>
  <c r="G9" i="4"/>
  <c r="G13" i="4" s="1"/>
  <c r="J14" i="4"/>
  <c r="H9" i="4"/>
  <c r="E64" i="4"/>
  <c r="E77" i="4"/>
  <c r="E65" i="4"/>
  <c r="E34" i="4"/>
  <c r="E76" i="4"/>
  <c r="E25" i="4"/>
  <c r="E71" i="4"/>
  <c r="E75" i="4"/>
  <c r="E70" i="4"/>
  <c r="E61" i="4"/>
  <c r="E63" i="15" l="1"/>
  <c r="E71" i="15" s="1"/>
  <c r="F71" i="14"/>
  <c r="F74" i="14"/>
  <c r="F75" i="14" s="1"/>
  <c r="E72" i="15"/>
  <c r="E30" i="15"/>
  <c r="H57" i="14"/>
  <c r="H62" i="14"/>
  <c r="D72" i="14"/>
  <c r="C29" i="14"/>
  <c r="C31" i="14" s="1"/>
  <c r="C67" i="14" s="1"/>
  <c r="D30" i="14"/>
  <c r="H22" i="14"/>
  <c r="I22" i="14" s="1"/>
  <c r="D63" i="14"/>
  <c r="H18" i="15"/>
  <c r="I51" i="14"/>
  <c r="H65" i="15"/>
  <c r="D72" i="15"/>
  <c r="C29" i="15"/>
  <c r="C31" i="15" s="1"/>
  <c r="C67" i="15" s="1"/>
  <c r="D30" i="15"/>
  <c r="H61" i="15"/>
  <c r="H55" i="15"/>
  <c r="H50" i="15"/>
  <c r="H59" i="15"/>
  <c r="H27" i="15"/>
  <c r="H60" i="15"/>
  <c r="H56" i="15"/>
  <c r="H25" i="15"/>
  <c r="H53" i="15"/>
  <c r="H26" i="15"/>
  <c r="H20" i="15"/>
  <c r="H21" i="15" s="1"/>
  <c r="H28" i="15"/>
  <c r="H49" i="15"/>
  <c r="H47" i="15"/>
  <c r="J14" i="15"/>
  <c r="J19" i="15"/>
  <c r="J13" i="15"/>
  <c r="F72" i="15"/>
  <c r="F30" i="15"/>
  <c r="I16" i="15"/>
  <c r="I65" i="15" s="1"/>
  <c r="F63" i="15"/>
  <c r="D63" i="15"/>
  <c r="K10" i="15"/>
  <c r="L9" i="15"/>
  <c r="G53" i="15"/>
  <c r="G26" i="15"/>
  <c r="G20" i="15"/>
  <c r="G21" i="15" s="1"/>
  <c r="G61" i="15"/>
  <c r="G55" i="15"/>
  <c r="G50" i="15"/>
  <c r="G59" i="15"/>
  <c r="G27" i="15"/>
  <c r="G49" i="15"/>
  <c r="G56" i="15"/>
  <c r="G25" i="15"/>
  <c r="G28" i="15"/>
  <c r="G60" i="15"/>
  <c r="G47" i="15"/>
  <c r="J59" i="14"/>
  <c r="J27" i="14"/>
  <c r="J49" i="14"/>
  <c r="J56" i="14"/>
  <c r="J25" i="14"/>
  <c r="J60" i="14"/>
  <c r="J28" i="14"/>
  <c r="J53" i="14"/>
  <c r="J26" i="14"/>
  <c r="J20" i="14"/>
  <c r="J21" i="14" s="1"/>
  <c r="J61" i="14"/>
  <c r="J55" i="14"/>
  <c r="J50" i="14"/>
  <c r="J47" i="14"/>
  <c r="J18" i="14"/>
  <c r="I23" i="14"/>
  <c r="I12" i="14"/>
  <c r="H23" i="14"/>
  <c r="H12" i="14"/>
  <c r="H29" i="14"/>
  <c r="M10" i="14"/>
  <c r="N9" i="14"/>
  <c r="L19" i="14"/>
  <c r="L13" i="14"/>
  <c r="L14" i="14"/>
  <c r="H51" i="14"/>
  <c r="I57" i="14"/>
  <c r="I62" i="14"/>
  <c r="E66" i="14"/>
  <c r="E67" i="14" s="1"/>
  <c r="E31" i="14"/>
  <c r="G72" i="14"/>
  <c r="G30" i="14"/>
  <c r="J65" i="14"/>
  <c r="K16" i="14"/>
  <c r="K65" i="14" s="1"/>
  <c r="G63" i="14"/>
  <c r="I29" i="14"/>
  <c r="E74" i="14"/>
  <c r="E75" i="14" s="1"/>
  <c r="F66" i="14"/>
  <c r="F67" i="14" s="1"/>
  <c r="F31" i="14"/>
  <c r="F23" i="13"/>
  <c r="F12" i="13"/>
  <c r="E63" i="13"/>
  <c r="F51" i="13"/>
  <c r="G51" i="13"/>
  <c r="I16" i="13"/>
  <c r="G57" i="13"/>
  <c r="F57" i="13"/>
  <c r="G23" i="13"/>
  <c r="G12" i="13"/>
  <c r="D67" i="13"/>
  <c r="J19" i="13"/>
  <c r="J13" i="13"/>
  <c r="J14" i="13"/>
  <c r="E72" i="13"/>
  <c r="E30" i="13"/>
  <c r="F29" i="13"/>
  <c r="H17" i="13"/>
  <c r="F22" i="13"/>
  <c r="G22" i="13" s="1"/>
  <c r="K10" i="13"/>
  <c r="L9" i="13"/>
  <c r="F62" i="13"/>
  <c r="G29" i="13"/>
  <c r="G62" i="13"/>
  <c r="F60" i="12"/>
  <c r="F28" i="12"/>
  <c r="F25" i="12"/>
  <c r="F26" i="12"/>
  <c r="E29" i="12"/>
  <c r="D66" i="4"/>
  <c r="F35" i="4"/>
  <c r="F33" i="4"/>
  <c r="F32" i="4"/>
  <c r="F55" i="12"/>
  <c r="F20" i="12"/>
  <c r="F21" i="12" s="1"/>
  <c r="F59" i="12"/>
  <c r="F50" i="12"/>
  <c r="D36" i="4"/>
  <c r="D38" i="4" s="1"/>
  <c r="E36" i="4"/>
  <c r="D78" i="4"/>
  <c r="F18" i="12"/>
  <c r="F27" i="12"/>
  <c r="F56" i="12"/>
  <c r="F61" i="12"/>
  <c r="F49" i="12"/>
  <c r="F53" i="12"/>
  <c r="F47" i="12"/>
  <c r="G17" i="12"/>
  <c r="E51" i="12"/>
  <c r="E62" i="12"/>
  <c r="E22" i="12"/>
  <c r="D72" i="4"/>
  <c r="E57" i="12"/>
  <c r="H16" i="12"/>
  <c r="H65" i="12" s="1"/>
  <c r="E12" i="12"/>
  <c r="E78" i="4"/>
  <c r="C29" i="12"/>
  <c r="C31" i="12" s="1"/>
  <c r="C67" i="12" s="1"/>
  <c r="D30" i="12"/>
  <c r="I14" i="12"/>
  <c r="I19" i="12"/>
  <c r="I13" i="12"/>
  <c r="D63" i="12"/>
  <c r="J10" i="12"/>
  <c r="G22" i="4"/>
  <c r="G12" i="4"/>
  <c r="D28" i="4"/>
  <c r="D20" i="4"/>
  <c r="D95" i="4" s="1"/>
  <c r="H22" i="4"/>
  <c r="H12" i="4"/>
  <c r="H13" i="4"/>
  <c r="K14" i="4"/>
  <c r="E27" i="4"/>
  <c r="E11" i="4" s="1"/>
  <c r="I9" i="4"/>
  <c r="F71" i="4"/>
  <c r="E66" i="4"/>
  <c r="E72" i="4"/>
  <c r="E64" i="15" l="1"/>
  <c r="I17" i="15"/>
  <c r="H51" i="15"/>
  <c r="J51" i="14"/>
  <c r="H63" i="14"/>
  <c r="H64" i="14" s="1"/>
  <c r="E74" i="15"/>
  <c r="E75" i="15" s="1"/>
  <c r="E66" i="15"/>
  <c r="E67" i="15" s="1"/>
  <c r="E31" i="15"/>
  <c r="D66" i="14"/>
  <c r="D67" i="14" s="1"/>
  <c r="D31" i="14"/>
  <c r="D71" i="14"/>
  <c r="D74" i="14" s="1"/>
  <c r="D75" i="14" s="1"/>
  <c r="D64" i="14"/>
  <c r="G63" i="13"/>
  <c r="G64" i="13" s="1"/>
  <c r="G23" i="15"/>
  <c r="G12" i="15"/>
  <c r="G22" i="15"/>
  <c r="H22" i="15" s="1"/>
  <c r="G62" i="15"/>
  <c r="I55" i="15"/>
  <c r="I50" i="15"/>
  <c r="I59" i="15"/>
  <c r="I27" i="15"/>
  <c r="I49" i="15"/>
  <c r="I56" i="15"/>
  <c r="I25" i="15"/>
  <c r="I60" i="15"/>
  <c r="I28" i="15"/>
  <c r="I61" i="15"/>
  <c r="I53" i="15"/>
  <c r="I20" i="15"/>
  <c r="I21" i="15" s="1"/>
  <c r="I26" i="15"/>
  <c r="I47" i="15"/>
  <c r="L10" i="15"/>
  <c r="M9" i="15"/>
  <c r="G29" i="15"/>
  <c r="K14" i="15"/>
  <c r="K19" i="15"/>
  <c r="K13" i="15"/>
  <c r="F66" i="15"/>
  <c r="F67" i="15" s="1"/>
  <c r="F31" i="15"/>
  <c r="H23" i="15"/>
  <c r="H12" i="15"/>
  <c r="J16" i="15"/>
  <c r="J65" i="15" s="1"/>
  <c r="H57" i="15"/>
  <c r="I18" i="15"/>
  <c r="D31" i="15"/>
  <c r="D66" i="15"/>
  <c r="G51" i="15"/>
  <c r="D64" i="15"/>
  <c r="D71" i="15"/>
  <c r="D74" i="15" s="1"/>
  <c r="D75" i="15" s="1"/>
  <c r="H62" i="15"/>
  <c r="G57" i="15"/>
  <c r="F71" i="15"/>
  <c r="F74" i="15" s="1"/>
  <c r="F75" i="15" s="1"/>
  <c r="F64" i="15"/>
  <c r="H29" i="15"/>
  <c r="J12" i="14"/>
  <c r="J23" i="14"/>
  <c r="J22" i="14"/>
  <c r="K17" i="14"/>
  <c r="K18" i="14" s="1"/>
  <c r="I63" i="14"/>
  <c r="H71" i="14"/>
  <c r="M13" i="14"/>
  <c r="M14" i="14"/>
  <c r="M19" i="14"/>
  <c r="J57" i="14"/>
  <c r="G64" i="14"/>
  <c r="G71" i="14"/>
  <c r="G74" i="14" s="1"/>
  <c r="G75" i="14" s="1"/>
  <c r="H72" i="14"/>
  <c r="H30" i="14"/>
  <c r="J62" i="14"/>
  <c r="N10" i="14"/>
  <c r="O9" i="14"/>
  <c r="O10" i="14" s="1"/>
  <c r="P9" i="14"/>
  <c r="I72" i="14"/>
  <c r="I30" i="14"/>
  <c r="G31" i="14"/>
  <c r="G66" i="14"/>
  <c r="G67" i="14" s="1"/>
  <c r="L16" i="14"/>
  <c r="L17" i="14" s="1"/>
  <c r="J29" i="14"/>
  <c r="F63" i="13"/>
  <c r="G72" i="13"/>
  <c r="G30" i="13"/>
  <c r="K19" i="13"/>
  <c r="K14" i="13"/>
  <c r="K13" i="13"/>
  <c r="H59" i="13"/>
  <c r="H27" i="13"/>
  <c r="H56" i="13"/>
  <c r="H53" i="13"/>
  <c r="H26" i="13"/>
  <c r="H20" i="13"/>
  <c r="H21" i="13" s="1"/>
  <c r="H61" i="13"/>
  <c r="H28" i="13"/>
  <c r="H60" i="13"/>
  <c r="H49" i="13"/>
  <c r="H55" i="13"/>
  <c r="H50" i="13"/>
  <c r="H25" i="13"/>
  <c r="H47" i="13"/>
  <c r="H18" i="13"/>
  <c r="L10" i="13"/>
  <c r="M9" i="13"/>
  <c r="F72" i="13"/>
  <c r="F30" i="13"/>
  <c r="I65" i="13"/>
  <c r="J16" i="13"/>
  <c r="J65" i="13" s="1"/>
  <c r="E64" i="13"/>
  <c r="E71" i="13"/>
  <c r="E74" i="13" s="1"/>
  <c r="E75" i="13" s="1"/>
  <c r="E66" i="13"/>
  <c r="E31" i="13"/>
  <c r="I17" i="13"/>
  <c r="G53" i="12"/>
  <c r="G26" i="12"/>
  <c r="G25" i="12"/>
  <c r="G28" i="12"/>
  <c r="F12" i="12"/>
  <c r="F23" i="12"/>
  <c r="F57" i="12"/>
  <c r="F51" i="12"/>
  <c r="F22" i="12"/>
  <c r="F29" i="12"/>
  <c r="F72" i="12" s="1"/>
  <c r="F62" i="12"/>
  <c r="D92" i="4"/>
  <c r="C36" i="4"/>
  <c r="C39" i="4" s="1"/>
  <c r="C85" i="4" s="1"/>
  <c r="D80" i="4"/>
  <c r="D84" i="4" s="1"/>
  <c r="D85" i="4" s="1"/>
  <c r="G49" i="12"/>
  <c r="G27" i="12"/>
  <c r="E63" i="12"/>
  <c r="E64" i="12" s="1"/>
  <c r="G60" i="12"/>
  <c r="G59" i="12"/>
  <c r="G55" i="12"/>
  <c r="G47" i="12"/>
  <c r="G56" i="12"/>
  <c r="G18" i="12"/>
  <c r="G50" i="12"/>
  <c r="G61" i="12"/>
  <c r="G20" i="12"/>
  <c r="G21" i="12" s="1"/>
  <c r="G23" i="12" s="1"/>
  <c r="D66" i="12"/>
  <c r="H17" i="12"/>
  <c r="I16" i="12"/>
  <c r="I65" i="12" s="1"/>
  <c r="E72" i="12"/>
  <c r="E30" i="12"/>
  <c r="G15" i="4"/>
  <c r="G16" i="4" s="1"/>
  <c r="H15" i="4"/>
  <c r="H16" i="4" s="1"/>
  <c r="E38" i="4"/>
  <c r="E92" i="4"/>
  <c r="D64" i="12"/>
  <c r="D71" i="12"/>
  <c r="D74" i="12" s="1"/>
  <c r="D75" i="12" s="1"/>
  <c r="J14" i="12"/>
  <c r="J13" i="12"/>
  <c r="J19" i="12"/>
  <c r="D31" i="12"/>
  <c r="K10" i="12"/>
  <c r="E80" i="4"/>
  <c r="D39" i="4"/>
  <c r="P8" i="4"/>
  <c r="E28" i="4"/>
  <c r="E20" i="4"/>
  <c r="E95" i="4" s="1"/>
  <c r="I13" i="4"/>
  <c r="I22" i="4"/>
  <c r="I12" i="4"/>
  <c r="L14" i="4"/>
  <c r="F64" i="4"/>
  <c r="F70" i="4"/>
  <c r="F77" i="4"/>
  <c r="F76" i="4"/>
  <c r="F75" i="4"/>
  <c r="F65" i="4"/>
  <c r="F25" i="4"/>
  <c r="F17" i="4"/>
  <c r="J9" i="4"/>
  <c r="F61" i="4"/>
  <c r="F34" i="4"/>
  <c r="F36" i="4" s="1"/>
  <c r="G71" i="13" l="1"/>
  <c r="H74" i="14"/>
  <c r="H75" i="14" s="1"/>
  <c r="J63" i="14"/>
  <c r="J64" i="14" s="1"/>
  <c r="J17" i="15"/>
  <c r="J60" i="15" s="1"/>
  <c r="I62" i="15"/>
  <c r="J18" i="15"/>
  <c r="H63" i="15"/>
  <c r="H71" i="15" s="1"/>
  <c r="G74" i="13"/>
  <c r="G75" i="13" s="1"/>
  <c r="I18" i="13"/>
  <c r="I23" i="15"/>
  <c r="I12" i="15"/>
  <c r="H72" i="15"/>
  <c r="H30" i="15"/>
  <c r="I29" i="15"/>
  <c r="I51" i="15"/>
  <c r="I63" i="15" s="1"/>
  <c r="I22" i="15"/>
  <c r="L19" i="15"/>
  <c r="L13" i="15"/>
  <c r="L14" i="15"/>
  <c r="J59" i="15"/>
  <c r="J27" i="15"/>
  <c r="J56" i="15"/>
  <c r="J25" i="15"/>
  <c r="J53" i="15"/>
  <c r="J50" i="15"/>
  <c r="J20" i="15"/>
  <c r="J21" i="15" s="1"/>
  <c r="G63" i="15"/>
  <c r="D67" i="15"/>
  <c r="I57" i="15"/>
  <c r="M10" i="15"/>
  <c r="N9" i="15"/>
  <c r="K16" i="15"/>
  <c r="K65" i="15" s="1"/>
  <c r="G72" i="15"/>
  <c r="G30" i="15"/>
  <c r="J71" i="14"/>
  <c r="L18" i="14"/>
  <c r="K56" i="14"/>
  <c r="K25" i="14"/>
  <c r="K53" i="14"/>
  <c r="K60" i="14"/>
  <c r="K28" i="14"/>
  <c r="K49" i="14"/>
  <c r="K61" i="14"/>
  <c r="K59" i="14"/>
  <c r="K55" i="14"/>
  <c r="K50" i="14"/>
  <c r="K27" i="14"/>
  <c r="K20" i="14"/>
  <c r="K21" i="14" s="1"/>
  <c r="K26" i="14"/>
  <c r="K47" i="14"/>
  <c r="O13" i="14"/>
  <c r="O19" i="14"/>
  <c r="O14" i="14"/>
  <c r="P10" i="14"/>
  <c r="L65" i="14"/>
  <c r="N13" i="14"/>
  <c r="N14" i="14"/>
  <c r="N19" i="14"/>
  <c r="I64" i="14"/>
  <c r="I71" i="14"/>
  <c r="I74" i="14" s="1"/>
  <c r="I75" i="14" s="1"/>
  <c r="M16" i="14"/>
  <c r="M65" i="14" s="1"/>
  <c r="H66" i="14"/>
  <c r="H31" i="14"/>
  <c r="J72" i="14"/>
  <c r="J30" i="14"/>
  <c r="I31" i="14"/>
  <c r="I66" i="14"/>
  <c r="I67" i="14" s="1"/>
  <c r="L56" i="14"/>
  <c r="L25" i="14"/>
  <c r="L61" i="14"/>
  <c r="L60" i="14"/>
  <c r="L28" i="14"/>
  <c r="L49" i="14"/>
  <c r="L53" i="14"/>
  <c r="L26" i="14"/>
  <c r="L20" i="14"/>
  <c r="L21" i="14" s="1"/>
  <c r="L55" i="14"/>
  <c r="L50" i="14"/>
  <c r="L59" i="14"/>
  <c r="L27" i="14"/>
  <c r="L47" i="14"/>
  <c r="H23" i="13"/>
  <c r="H12" i="13"/>
  <c r="F64" i="13"/>
  <c r="F71" i="13"/>
  <c r="F74" i="13" s="1"/>
  <c r="F75" i="13" s="1"/>
  <c r="I59" i="13"/>
  <c r="I60" i="13"/>
  <c r="I56" i="13"/>
  <c r="I25" i="13"/>
  <c r="I61" i="13"/>
  <c r="I55" i="13"/>
  <c r="I53" i="13"/>
  <c r="I49" i="13"/>
  <c r="I26" i="13"/>
  <c r="I20" i="13"/>
  <c r="I21" i="13" s="1"/>
  <c r="I50" i="13"/>
  <c r="I27" i="13"/>
  <c r="I28" i="13"/>
  <c r="I47" i="13"/>
  <c r="K16" i="13"/>
  <c r="K65" i="13" s="1"/>
  <c r="H29" i="13"/>
  <c r="M10" i="13"/>
  <c r="N9" i="13"/>
  <c r="J17" i="13"/>
  <c r="E67" i="13"/>
  <c r="F66" i="13"/>
  <c r="F67" i="13" s="1"/>
  <c r="F31" i="13"/>
  <c r="H57" i="13"/>
  <c r="H51" i="13"/>
  <c r="L14" i="13"/>
  <c r="L19" i="13"/>
  <c r="L13" i="13"/>
  <c r="H22" i="13"/>
  <c r="H62" i="13"/>
  <c r="G66" i="13"/>
  <c r="G67" i="13" s="1"/>
  <c r="G31" i="13"/>
  <c r="H26" i="12"/>
  <c r="H28" i="12"/>
  <c r="H25" i="12"/>
  <c r="F63" i="12"/>
  <c r="F64" i="12" s="1"/>
  <c r="H35" i="4"/>
  <c r="H32" i="4"/>
  <c r="H33" i="4"/>
  <c r="G35" i="4"/>
  <c r="G33" i="4"/>
  <c r="G32" i="4"/>
  <c r="G36" i="4" s="1"/>
  <c r="G22" i="12"/>
  <c r="H56" i="12"/>
  <c r="H27" i="12"/>
  <c r="G29" i="12"/>
  <c r="G30" i="12" s="1"/>
  <c r="G31" i="12" s="1"/>
  <c r="F30" i="12"/>
  <c r="F31" i="12" s="1"/>
  <c r="G57" i="12"/>
  <c r="D81" i="4"/>
  <c r="D91" i="4"/>
  <c r="D93" i="4" s="1"/>
  <c r="D94" i="4" s="1"/>
  <c r="H47" i="12"/>
  <c r="G62" i="12"/>
  <c r="G51" i="12"/>
  <c r="G12" i="12"/>
  <c r="E71" i="12"/>
  <c r="E74" i="12" s="1"/>
  <c r="E75" i="12" s="1"/>
  <c r="H61" i="12"/>
  <c r="H55" i="12"/>
  <c r="E66" i="12"/>
  <c r="E67" i="12" s="1"/>
  <c r="H60" i="12"/>
  <c r="H50" i="12"/>
  <c r="H20" i="12"/>
  <c r="H21" i="12" s="1"/>
  <c r="H23" i="12" s="1"/>
  <c r="H18" i="12"/>
  <c r="H49" i="12"/>
  <c r="I17" i="12"/>
  <c r="H53" i="12"/>
  <c r="H59" i="12"/>
  <c r="F71" i="12"/>
  <c r="F74" i="12" s="1"/>
  <c r="F75" i="12" s="1"/>
  <c r="E39" i="4"/>
  <c r="E84" i="4"/>
  <c r="E85" i="4" s="1"/>
  <c r="E31" i="12"/>
  <c r="J16" i="12"/>
  <c r="J65" i="12" s="1"/>
  <c r="I15" i="4"/>
  <c r="I16" i="4" s="1"/>
  <c r="I68" i="4" s="1"/>
  <c r="F78" i="4"/>
  <c r="E81" i="4"/>
  <c r="E91" i="4"/>
  <c r="E93" i="4" s="1"/>
  <c r="L10" i="12"/>
  <c r="K19" i="12"/>
  <c r="K13" i="12"/>
  <c r="K14" i="12"/>
  <c r="D67" i="12"/>
  <c r="F72" i="4"/>
  <c r="J13" i="4"/>
  <c r="J12" i="4"/>
  <c r="J22" i="4"/>
  <c r="M14" i="4"/>
  <c r="F66" i="4"/>
  <c r="F27" i="4"/>
  <c r="F11" i="4" s="1"/>
  <c r="H25" i="4"/>
  <c r="G61" i="4"/>
  <c r="G76" i="4"/>
  <c r="G75" i="4"/>
  <c r="G71" i="4"/>
  <c r="G70" i="4"/>
  <c r="G34" i="4"/>
  <c r="G65" i="4"/>
  <c r="G64" i="4"/>
  <c r="G25" i="4"/>
  <c r="G77" i="4"/>
  <c r="G17" i="4"/>
  <c r="K9" i="4"/>
  <c r="J26" i="15" l="1"/>
  <c r="J61" i="15"/>
  <c r="J55" i="15"/>
  <c r="J57" i="15" s="1"/>
  <c r="J49" i="15"/>
  <c r="J28" i="15"/>
  <c r="H64" i="15"/>
  <c r="J47" i="15"/>
  <c r="L62" i="14"/>
  <c r="L57" i="14"/>
  <c r="L51" i="14"/>
  <c r="J62" i="15"/>
  <c r="H74" i="15"/>
  <c r="H75" i="15" s="1"/>
  <c r="J74" i="14"/>
  <c r="J75" i="14" s="1"/>
  <c r="M17" i="14"/>
  <c r="M28" i="14" s="1"/>
  <c r="J18" i="13"/>
  <c r="I29" i="13"/>
  <c r="I72" i="13" s="1"/>
  <c r="I62" i="13"/>
  <c r="J22" i="15"/>
  <c r="K17" i="15"/>
  <c r="J12" i="15"/>
  <c r="J23" i="15"/>
  <c r="G64" i="15"/>
  <c r="G71" i="15"/>
  <c r="G74" i="15" s="1"/>
  <c r="G75" i="15" s="1"/>
  <c r="I64" i="15"/>
  <c r="I71" i="15"/>
  <c r="G66" i="15"/>
  <c r="G31" i="15"/>
  <c r="I72" i="15"/>
  <c r="I30" i="15"/>
  <c r="M13" i="15"/>
  <c r="M19" i="15"/>
  <c r="M14" i="15"/>
  <c r="J29" i="15"/>
  <c r="L16" i="15"/>
  <c r="L65" i="15" s="1"/>
  <c r="H31" i="15"/>
  <c r="H66" i="15"/>
  <c r="H67" i="15" s="1"/>
  <c r="J51" i="15"/>
  <c r="N10" i="15"/>
  <c r="K12" i="14"/>
  <c r="K23" i="14"/>
  <c r="K22" i="14"/>
  <c r="L22" i="14" s="1"/>
  <c r="L12" i="14"/>
  <c r="L23" i="14"/>
  <c r="P14" i="14"/>
  <c r="J66" i="14"/>
  <c r="J67" i="14" s="1"/>
  <c r="J31" i="14"/>
  <c r="P19" i="14"/>
  <c r="K57" i="14"/>
  <c r="O16" i="14"/>
  <c r="O65" i="14" s="1"/>
  <c r="N16" i="14"/>
  <c r="N65" i="14" s="1"/>
  <c r="P13" i="14"/>
  <c r="K62" i="14"/>
  <c r="H67" i="14"/>
  <c r="L29" i="14"/>
  <c r="K29" i="14"/>
  <c r="K51" i="14"/>
  <c r="I23" i="13"/>
  <c r="I12" i="13"/>
  <c r="H63" i="13"/>
  <c r="K17" i="13"/>
  <c r="J59" i="13"/>
  <c r="J56" i="13"/>
  <c r="J25" i="13"/>
  <c r="J60" i="13"/>
  <c r="J28" i="13"/>
  <c r="J49" i="13"/>
  <c r="J55" i="13"/>
  <c r="J50" i="13"/>
  <c r="J61" i="13"/>
  <c r="J53" i="13"/>
  <c r="J27" i="13"/>
  <c r="J26" i="13"/>
  <c r="J20" i="13"/>
  <c r="J21" i="13" s="1"/>
  <c r="J47" i="13"/>
  <c r="I22" i="13"/>
  <c r="N10" i="13"/>
  <c r="I51" i="13"/>
  <c r="I57" i="13"/>
  <c r="M13" i="13"/>
  <c r="M19" i="13"/>
  <c r="M14" i="13"/>
  <c r="L16" i="13"/>
  <c r="L65" i="13" s="1"/>
  <c r="I30" i="13"/>
  <c r="H72" i="13"/>
  <c r="H30" i="13"/>
  <c r="I60" i="12"/>
  <c r="I26" i="12"/>
  <c r="I25" i="12"/>
  <c r="I28" i="12"/>
  <c r="H29" i="12"/>
  <c r="H72" i="12" s="1"/>
  <c r="I35" i="4"/>
  <c r="I32" i="4"/>
  <c r="I33" i="4"/>
  <c r="H22" i="12"/>
  <c r="G63" i="12"/>
  <c r="G66" i="12" s="1"/>
  <c r="F66" i="12"/>
  <c r="F67" i="12" s="1"/>
  <c r="G72" i="12"/>
  <c r="H51" i="12"/>
  <c r="G78" i="4"/>
  <c r="H62" i="12"/>
  <c r="I50" i="12"/>
  <c r="I56" i="12"/>
  <c r="H12" i="12"/>
  <c r="J17" i="12"/>
  <c r="H57" i="12"/>
  <c r="I18" i="12"/>
  <c r="I49" i="12"/>
  <c r="I47" i="12"/>
  <c r="I20" i="12"/>
  <c r="I21" i="12" s="1"/>
  <c r="I23" i="12" s="1"/>
  <c r="I27" i="12"/>
  <c r="I55" i="12"/>
  <c r="I61" i="12"/>
  <c r="I53" i="12"/>
  <c r="I59" i="12"/>
  <c r="K16" i="12"/>
  <c r="K65" i="12" s="1"/>
  <c r="J15" i="4"/>
  <c r="E94" i="4"/>
  <c r="F38" i="4"/>
  <c r="F92" i="4"/>
  <c r="M10" i="12"/>
  <c r="L19" i="12"/>
  <c r="L13" i="12"/>
  <c r="L14" i="12"/>
  <c r="F80" i="4"/>
  <c r="F28" i="4"/>
  <c r="F20" i="4"/>
  <c r="F95" i="4" s="1"/>
  <c r="K13" i="4"/>
  <c r="K22" i="4"/>
  <c r="K12" i="4"/>
  <c r="N14" i="4"/>
  <c r="H34" i="4"/>
  <c r="H70" i="4"/>
  <c r="H65" i="4"/>
  <c r="H61" i="4"/>
  <c r="H75" i="4"/>
  <c r="H17" i="4"/>
  <c r="I17" i="4" s="1"/>
  <c r="H77" i="4"/>
  <c r="H76" i="4"/>
  <c r="H71" i="4"/>
  <c r="H64" i="4"/>
  <c r="H27" i="4"/>
  <c r="G27" i="4"/>
  <c r="G11" i="4" s="1"/>
  <c r="G72" i="4"/>
  <c r="I64" i="4"/>
  <c r="I61" i="4"/>
  <c r="I34" i="4"/>
  <c r="I65" i="4"/>
  <c r="I76" i="4"/>
  <c r="I77" i="4"/>
  <c r="I75" i="4"/>
  <c r="I71" i="4"/>
  <c r="I70" i="4"/>
  <c r="I25" i="4"/>
  <c r="G66" i="4"/>
  <c r="L9" i="4"/>
  <c r="L63" i="14" l="1"/>
  <c r="M55" i="14"/>
  <c r="M20" i="14"/>
  <c r="M21" i="14" s="1"/>
  <c r="M26" i="14"/>
  <c r="M53" i="14"/>
  <c r="M56" i="14"/>
  <c r="M60" i="14"/>
  <c r="M25" i="14"/>
  <c r="M29" i="14" s="1"/>
  <c r="M49" i="14"/>
  <c r="M51" i="14" s="1"/>
  <c r="M50" i="14"/>
  <c r="M47" i="14"/>
  <c r="M18" i="14"/>
  <c r="M27" i="14"/>
  <c r="M61" i="14"/>
  <c r="I74" i="15"/>
  <c r="I75" i="15" s="1"/>
  <c r="P65" i="14"/>
  <c r="M59" i="14"/>
  <c r="I31" i="15"/>
  <c r="I66" i="15"/>
  <c r="I67" i="15" s="1"/>
  <c r="J72" i="15"/>
  <c r="J30" i="15"/>
  <c r="G67" i="15"/>
  <c r="L17" i="15"/>
  <c r="O10" i="15"/>
  <c r="P9" i="15"/>
  <c r="N13" i="15"/>
  <c r="N19" i="15"/>
  <c r="N14" i="15"/>
  <c r="K56" i="15"/>
  <c r="K25" i="15"/>
  <c r="K61" i="15"/>
  <c r="K60" i="15"/>
  <c r="K28" i="15"/>
  <c r="K49" i="15"/>
  <c r="K53" i="15"/>
  <c r="K26" i="15"/>
  <c r="K20" i="15"/>
  <c r="K21" i="15" s="1"/>
  <c r="K59" i="15"/>
  <c r="K27" i="15"/>
  <c r="K55" i="15"/>
  <c r="K50" i="15"/>
  <c r="K47" i="15"/>
  <c r="K18" i="15"/>
  <c r="J63" i="15"/>
  <c r="M16" i="15"/>
  <c r="M65" i="15" s="1"/>
  <c r="M12" i="14"/>
  <c r="M23" i="14"/>
  <c r="L72" i="14"/>
  <c r="L30" i="14"/>
  <c r="N17" i="14"/>
  <c r="L64" i="14"/>
  <c r="L71" i="14"/>
  <c r="P16" i="14"/>
  <c r="M57" i="14"/>
  <c r="O17" i="14"/>
  <c r="M22" i="14"/>
  <c r="K63" i="14"/>
  <c r="K72" i="14"/>
  <c r="K30" i="14"/>
  <c r="J12" i="13"/>
  <c r="J23" i="13"/>
  <c r="O10" i="13"/>
  <c r="P9" i="13"/>
  <c r="N13" i="13"/>
  <c r="N14" i="13"/>
  <c r="N19" i="13"/>
  <c r="J29" i="13"/>
  <c r="L17" i="13"/>
  <c r="J22" i="13"/>
  <c r="J57" i="13"/>
  <c r="J62" i="13"/>
  <c r="H66" i="13"/>
  <c r="H31" i="13"/>
  <c r="K60" i="13"/>
  <c r="K28" i="13"/>
  <c r="K49" i="13"/>
  <c r="K53" i="13"/>
  <c r="K61" i="13"/>
  <c r="K59" i="13"/>
  <c r="K27" i="13"/>
  <c r="K50" i="13"/>
  <c r="K55" i="13"/>
  <c r="K26" i="13"/>
  <c r="K20" i="13"/>
  <c r="K21" i="13" s="1"/>
  <c r="K56" i="13"/>
  <c r="K25" i="13"/>
  <c r="K47" i="13"/>
  <c r="H74" i="13"/>
  <c r="H75" i="13" s="1"/>
  <c r="M16" i="13"/>
  <c r="M65" i="13" s="1"/>
  <c r="M17" i="13"/>
  <c r="K18" i="13"/>
  <c r="J51" i="13"/>
  <c r="H64" i="13"/>
  <c r="H71" i="13"/>
  <c r="I31" i="13"/>
  <c r="I63" i="13"/>
  <c r="J59" i="12"/>
  <c r="J26" i="12"/>
  <c r="J25" i="12"/>
  <c r="J28" i="12"/>
  <c r="H30" i="12"/>
  <c r="H31" i="12" s="1"/>
  <c r="I29" i="12"/>
  <c r="I30" i="12" s="1"/>
  <c r="I31" i="12" s="1"/>
  <c r="I36" i="4"/>
  <c r="G71" i="12"/>
  <c r="G74" i="12" s="1"/>
  <c r="G75" i="12" s="1"/>
  <c r="I51" i="12"/>
  <c r="G64" i="12"/>
  <c r="H36" i="4"/>
  <c r="H63" i="12"/>
  <c r="J53" i="12"/>
  <c r="J56" i="12"/>
  <c r="J18" i="12"/>
  <c r="J47" i="12"/>
  <c r="J49" i="12"/>
  <c r="J50" i="12"/>
  <c r="J20" i="12"/>
  <c r="J21" i="12" s="1"/>
  <c r="J55" i="12"/>
  <c r="J27" i="12"/>
  <c r="J60" i="12"/>
  <c r="J61" i="12"/>
  <c r="K17" i="12"/>
  <c r="I62" i="12"/>
  <c r="I57" i="12"/>
  <c r="I12" i="12"/>
  <c r="I22" i="12"/>
  <c r="F39" i="4"/>
  <c r="F84" i="4"/>
  <c r="F85" i="4" s="1"/>
  <c r="J16" i="4"/>
  <c r="J68" i="4" s="1"/>
  <c r="H78" i="4"/>
  <c r="L16" i="12"/>
  <c r="L65" i="12" s="1"/>
  <c r="I78" i="4"/>
  <c r="K15" i="4"/>
  <c r="F81" i="4"/>
  <c r="F91" i="4"/>
  <c r="G38" i="4"/>
  <c r="G92" i="4"/>
  <c r="G67" i="12"/>
  <c r="M19" i="12"/>
  <c r="M13" i="12"/>
  <c r="M14" i="12"/>
  <c r="N10" i="12"/>
  <c r="H11" i="4"/>
  <c r="G80" i="4"/>
  <c r="G28" i="4"/>
  <c r="H28" i="4" s="1"/>
  <c r="H72" i="4"/>
  <c r="H20" i="4"/>
  <c r="H95" i="4" s="1"/>
  <c r="G20" i="4"/>
  <c r="G95" i="4" s="1"/>
  <c r="L13" i="4"/>
  <c r="L22" i="4"/>
  <c r="L12" i="4"/>
  <c r="H66" i="4"/>
  <c r="O14" i="4"/>
  <c r="I27" i="4"/>
  <c r="I66" i="4"/>
  <c r="I72" i="4"/>
  <c r="M9" i="4"/>
  <c r="M62" i="14" l="1"/>
  <c r="N18" i="14"/>
  <c r="O18" i="14" s="1"/>
  <c r="L18" i="13"/>
  <c r="M18" i="13" s="1"/>
  <c r="K51" i="13"/>
  <c r="M63" i="14"/>
  <c r="M71" i="14" s="1"/>
  <c r="L74" i="14"/>
  <c r="L75" i="14" s="1"/>
  <c r="K12" i="15"/>
  <c r="K23" i="15"/>
  <c r="K22" i="15"/>
  <c r="J71" i="15"/>
  <c r="J74" i="15" s="1"/>
  <c r="J75" i="15" s="1"/>
  <c r="J64" i="15"/>
  <c r="L18" i="15"/>
  <c r="K57" i="15"/>
  <c r="J31" i="15"/>
  <c r="J66" i="15"/>
  <c r="L56" i="15"/>
  <c r="L25" i="15"/>
  <c r="L55" i="15"/>
  <c r="L60" i="15"/>
  <c r="L28" i="15"/>
  <c r="L49" i="15"/>
  <c r="L53" i="15"/>
  <c r="L26" i="15"/>
  <c r="L20" i="15"/>
  <c r="L21" i="15" s="1"/>
  <c r="L61" i="15"/>
  <c r="L50" i="15"/>
  <c r="L27" i="15"/>
  <c r="L59" i="15"/>
  <c r="L47" i="15"/>
  <c r="K62" i="15"/>
  <c r="N16" i="15"/>
  <c r="N65" i="15" s="1"/>
  <c r="K29" i="15"/>
  <c r="K51" i="15"/>
  <c r="M17" i="15"/>
  <c r="O13" i="15"/>
  <c r="O14" i="15"/>
  <c r="P14" i="15" s="1"/>
  <c r="O19" i="15"/>
  <c r="P19" i="15" s="1"/>
  <c r="P10" i="15"/>
  <c r="M64" i="14"/>
  <c r="O53" i="14"/>
  <c r="O26" i="14"/>
  <c r="O20" i="14"/>
  <c r="O21" i="14" s="1"/>
  <c r="O61" i="14"/>
  <c r="O55" i="14"/>
  <c r="O50" i="14"/>
  <c r="O59" i="14"/>
  <c r="O27" i="14"/>
  <c r="O56" i="14"/>
  <c r="O25" i="14"/>
  <c r="O60" i="14"/>
  <c r="O28" i="14"/>
  <c r="O49" i="14"/>
  <c r="O47" i="14"/>
  <c r="P17" i="14"/>
  <c r="L31" i="14"/>
  <c r="L66" i="14"/>
  <c r="L67" i="14" s="1"/>
  <c r="N49" i="14"/>
  <c r="N53" i="14"/>
  <c r="N26" i="14"/>
  <c r="N20" i="14"/>
  <c r="N21" i="14" s="1"/>
  <c r="N22" i="14" s="1"/>
  <c r="N61" i="14"/>
  <c r="N55" i="14"/>
  <c r="N50" i="14"/>
  <c r="N59" i="14"/>
  <c r="N60" i="14"/>
  <c r="N56" i="14"/>
  <c r="N25" i="14"/>
  <c r="N28" i="14"/>
  <c r="N27" i="14"/>
  <c r="N47" i="14"/>
  <c r="M72" i="14"/>
  <c r="M30" i="14"/>
  <c r="K31" i="14"/>
  <c r="K66" i="14"/>
  <c r="K71" i="14"/>
  <c r="K74" i="14" s="1"/>
  <c r="K75" i="14" s="1"/>
  <c r="K64" i="14"/>
  <c r="K29" i="13"/>
  <c r="H67" i="13"/>
  <c r="K62" i="13"/>
  <c r="N16" i="13"/>
  <c r="N65" i="13" s="1"/>
  <c r="J72" i="13"/>
  <c r="J30" i="13"/>
  <c r="J63" i="13"/>
  <c r="K12" i="13"/>
  <c r="K23" i="13"/>
  <c r="K57" i="13"/>
  <c r="O13" i="13"/>
  <c r="O19" i="13"/>
  <c r="P19" i="13" s="1"/>
  <c r="O14" i="13"/>
  <c r="P14" i="13" s="1"/>
  <c r="P10" i="13"/>
  <c r="I71" i="13"/>
  <c r="I74" i="13" s="1"/>
  <c r="I75" i="13" s="1"/>
  <c r="I64" i="13"/>
  <c r="M53" i="13"/>
  <c r="M57" i="13" s="1"/>
  <c r="M26" i="13"/>
  <c r="M20" i="13"/>
  <c r="M21" i="13" s="1"/>
  <c r="M50" i="13"/>
  <c r="M61" i="13"/>
  <c r="M55" i="13"/>
  <c r="M56" i="13"/>
  <c r="M25" i="13"/>
  <c r="M60" i="13"/>
  <c r="M49" i="13"/>
  <c r="M59" i="13"/>
  <c r="M27" i="13"/>
  <c r="M28" i="13"/>
  <c r="M47" i="13"/>
  <c r="K22" i="13"/>
  <c r="I66" i="13"/>
  <c r="I67" i="13" s="1"/>
  <c r="L60" i="13"/>
  <c r="L49" i="13"/>
  <c r="L61" i="13"/>
  <c r="L53" i="13"/>
  <c r="L26" i="13"/>
  <c r="L20" i="13"/>
  <c r="L21" i="13" s="1"/>
  <c r="L56" i="13"/>
  <c r="L50" i="13"/>
  <c r="L55" i="13"/>
  <c r="L59" i="13"/>
  <c r="L28" i="13"/>
  <c r="L27" i="13"/>
  <c r="L25" i="13"/>
  <c r="L47" i="13"/>
  <c r="K53" i="12"/>
  <c r="K25" i="12"/>
  <c r="K28" i="12"/>
  <c r="K26" i="12"/>
  <c r="J12" i="12"/>
  <c r="J23" i="12"/>
  <c r="H66" i="12"/>
  <c r="H67" i="12" s="1"/>
  <c r="J22" i="12"/>
  <c r="J35" i="4"/>
  <c r="J32" i="4"/>
  <c r="J33" i="4"/>
  <c r="J29" i="12"/>
  <c r="J30" i="12" s="1"/>
  <c r="J31" i="12" s="1"/>
  <c r="H71" i="12"/>
  <c r="H74" i="12" s="1"/>
  <c r="H75" i="12" s="1"/>
  <c r="J57" i="12"/>
  <c r="I72" i="12"/>
  <c r="H64" i="12"/>
  <c r="K20" i="12"/>
  <c r="K21" i="12" s="1"/>
  <c r="J51" i="12"/>
  <c r="K27" i="12"/>
  <c r="I63" i="12"/>
  <c r="I64" i="12" s="1"/>
  <c r="K49" i="12"/>
  <c r="J62" i="12"/>
  <c r="K18" i="12"/>
  <c r="K55" i="12"/>
  <c r="K61" i="12"/>
  <c r="K50" i="12"/>
  <c r="K47" i="12"/>
  <c r="K59" i="12"/>
  <c r="K56" i="12"/>
  <c r="K60" i="12"/>
  <c r="L17" i="12"/>
  <c r="G39" i="4"/>
  <c r="G84" i="4"/>
  <c r="G85" i="4" s="1"/>
  <c r="K16" i="4"/>
  <c r="K68" i="4" s="1"/>
  <c r="M16" i="12"/>
  <c r="M65" i="12" s="1"/>
  <c r="L15" i="4"/>
  <c r="L83" i="4" s="1"/>
  <c r="F93" i="4"/>
  <c r="F94" i="4" s="1"/>
  <c r="G81" i="4"/>
  <c r="G91" i="4"/>
  <c r="I38" i="4"/>
  <c r="I92" i="4"/>
  <c r="H38" i="4"/>
  <c r="H92" i="4"/>
  <c r="O10" i="12"/>
  <c r="P9" i="12"/>
  <c r="N19" i="12"/>
  <c r="N13" i="12"/>
  <c r="N14" i="12"/>
  <c r="H80" i="4"/>
  <c r="I11" i="4"/>
  <c r="I80" i="4"/>
  <c r="I28" i="4"/>
  <c r="M13" i="4"/>
  <c r="M12" i="4"/>
  <c r="M22" i="4"/>
  <c r="I20" i="4"/>
  <c r="I95" i="4" s="1"/>
  <c r="P14" i="4"/>
  <c r="J17" i="4"/>
  <c r="J65" i="4"/>
  <c r="J77" i="4"/>
  <c r="J61" i="4"/>
  <c r="J25" i="4"/>
  <c r="J75" i="4"/>
  <c r="J70" i="4"/>
  <c r="J34" i="4"/>
  <c r="J76" i="4"/>
  <c r="J71" i="4"/>
  <c r="J64" i="4"/>
  <c r="N9" i="4"/>
  <c r="N17" i="15" l="1"/>
  <c r="N50" i="15" s="1"/>
  <c r="P56" i="14"/>
  <c r="M74" i="14"/>
  <c r="M75" i="14" s="1"/>
  <c r="M18" i="15"/>
  <c r="P50" i="14"/>
  <c r="O51" i="14"/>
  <c r="P61" i="14"/>
  <c r="M62" i="13"/>
  <c r="L62" i="13"/>
  <c r="M51" i="13"/>
  <c r="M63" i="13" s="1"/>
  <c r="K63" i="13"/>
  <c r="K64" i="13" s="1"/>
  <c r="L29" i="13"/>
  <c r="L72" i="13" s="1"/>
  <c r="L12" i="15"/>
  <c r="L23" i="15"/>
  <c r="L29" i="15"/>
  <c r="N18" i="15"/>
  <c r="O16" i="15"/>
  <c r="O17" i="15" s="1"/>
  <c r="P13" i="15"/>
  <c r="L22" i="15"/>
  <c r="N49" i="15"/>
  <c r="N53" i="15"/>
  <c r="N26" i="15"/>
  <c r="N20" i="15"/>
  <c r="N21" i="15" s="1"/>
  <c r="N61" i="15"/>
  <c r="N55" i="15"/>
  <c r="N59" i="15"/>
  <c r="N27" i="15"/>
  <c r="N60" i="15"/>
  <c r="N28" i="15"/>
  <c r="N56" i="15"/>
  <c r="N25" i="15"/>
  <c r="N47" i="15"/>
  <c r="M60" i="15"/>
  <c r="M28" i="15"/>
  <c r="M59" i="15"/>
  <c r="M27" i="15"/>
  <c r="M49" i="15"/>
  <c r="M53" i="15"/>
  <c r="M26" i="15"/>
  <c r="M20" i="15"/>
  <c r="M21" i="15" s="1"/>
  <c r="M61" i="15"/>
  <c r="M55" i="15"/>
  <c r="M50" i="15"/>
  <c r="M56" i="15"/>
  <c r="M25" i="15"/>
  <c r="M47" i="15"/>
  <c r="K63" i="15"/>
  <c r="J67" i="15"/>
  <c r="L62" i="15"/>
  <c r="L57" i="15"/>
  <c r="K72" i="15"/>
  <c r="K30" i="15"/>
  <c r="L51" i="15"/>
  <c r="O23" i="14"/>
  <c r="O12" i="14"/>
  <c r="M66" i="14"/>
  <c r="M67" i="14" s="1"/>
  <c r="M31" i="14"/>
  <c r="N57" i="14"/>
  <c r="P60" i="14"/>
  <c r="P55" i="14"/>
  <c r="O29" i="14"/>
  <c r="P25" i="14"/>
  <c r="N62" i="14"/>
  <c r="P59" i="14"/>
  <c r="P26" i="14"/>
  <c r="P20" i="14"/>
  <c r="P21" i="14" s="1"/>
  <c r="P47" i="14"/>
  <c r="P27" i="14"/>
  <c r="O57" i="14"/>
  <c r="O63" i="14" s="1"/>
  <c r="P53" i="14"/>
  <c r="N51" i="14"/>
  <c r="P49" i="14"/>
  <c r="O22" i="14"/>
  <c r="N23" i="14"/>
  <c r="N12" i="14"/>
  <c r="O62" i="14"/>
  <c r="K67" i="14"/>
  <c r="N29" i="14"/>
  <c r="P28" i="14"/>
  <c r="M23" i="13"/>
  <c r="M12" i="13"/>
  <c r="K71" i="13"/>
  <c r="M29" i="13"/>
  <c r="L22" i="13"/>
  <c r="M22" i="13" s="1"/>
  <c r="L57" i="13"/>
  <c r="O16" i="13"/>
  <c r="P13" i="13"/>
  <c r="L23" i="13"/>
  <c r="L12" i="13"/>
  <c r="N17" i="13"/>
  <c r="L51" i="13"/>
  <c r="J71" i="13"/>
  <c r="J74" i="13" s="1"/>
  <c r="J75" i="13" s="1"/>
  <c r="J64" i="13"/>
  <c r="L30" i="13"/>
  <c r="J31" i="13"/>
  <c r="J66" i="13"/>
  <c r="J67" i="13" s="1"/>
  <c r="K72" i="13"/>
  <c r="K30" i="13"/>
  <c r="L50" i="12"/>
  <c r="L25" i="12"/>
  <c r="L28" i="12"/>
  <c r="L26" i="12"/>
  <c r="K12" i="12"/>
  <c r="K23" i="12"/>
  <c r="K35" i="4"/>
  <c r="K33" i="4"/>
  <c r="K32" i="4"/>
  <c r="K22" i="12"/>
  <c r="K29" i="12"/>
  <c r="K30" i="12" s="1"/>
  <c r="K31" i="12" s="1"/>
  <c r="J63" i="12"/>
  <c r="J66" i="12" s="1"/>
  <c r="J67" i="12" s="1"/>
  <c r="J36" i="4"/>
  <c r="I66" i="12"/>
  <c r="I67" i="12" s="1"/>
  <c r="I71" i="12"/>
  <c r="I74" i="12" s="1"/>
  <c r="I75" i="12" s="1"/>
  <c r="J72" i="12"/>
  <c r="K51" i="12"/>
  <c r="L20" i="12"/>
  <c r="L21" i="12" s="1"/>
  <c r="K57" i="12"/>
  <c r="L18" i="12"/>
  <c r="L27" i="12"/>
  <c r="K62" i="12"/>
  <c r="L49" i="12"/>
  <c r="L51" i="12" s="1"/>
  <c r="M17" i="12"/>
  <c r="L56" i="12"/>
  <c r="L55" i="12"/>
  <c r="L61" i="12"/>
  <c r="L60" i="12"/>
  <c r="L47" i="12"/>
  <c r="L53" i="12"/>
  <c r="L59" i="12"/>
  <c r="L16" i="4"/>
  <c r="L68" i="4" s="1"/>
  <c r="H39" i="4"/>
  <c r="H84" i="4"/>
  <c r="H85" i="4" s="1"/>
  <c r="I39" i="4"/>
  <c r="I84" i="4"/>
  <c r="I85" i="4" s="1"/>
  <c r="N16" i="12"/>
  <c r="N65" i="12" s="1"/>
  <c r="G93" i="4"/>
  <c r="G94" i="4" s="1"/>
  <c r="M15" i="4"/>
  <c r="M83" i="4" s="1"/>
  <c r="J78" i="4"/>
  <c r="I81" i="4"/>
  <c r="I91" i="4"/>
  <c r="I93" i="4" s="1"/>
  <c r="H81" i="4"/>
  <c r="H91" i="4"/>
  <c r="O13" i="12"/>
  <c r="O14" i="12"/>
  <c r="P14" i="12" s="1"/>
  <c r="O19" i="12"/>
  <c r="P19" i="12" s="1"/>
  <c r="P10" i="12"/>
  <c r="N22" i="4"/>
  <c r="N12" i="4"/>
  <c r="N13" i="4"/>
  <c r="J27" i="4"/>
  <c r="J11" i="4" s="1"/>
  <c r="J66" i="4"/>
  <c r="K76" i="4"/>
  <c r="K34" i="4"/>
  <c r="K77" i="4"/>
  <c r="K71" i="4"/>
  <c r="K64" i="4"/>
  <c r="K70" i="4"/>
  <c r="K65" i="4"/>
  <c r="K75" i="4"/>
  <c r="K25" i="4"/>
  <c r="K61" i="4"/>
  <c r="O9" i="4"/>
  <c r="J72" i="4"/>
  <c r="K17" i="4"/>
  <c r="N29" i="15" l="1"/>
  <c r="N72" i="15" s="1"/>
  <c r="M62" i="15"/>
  <c r="P62" i="14"/>
  <c r="K74" i="13"/>
  <c r="K75" i="13" s="1"/>
  <c r="L63" i="13"/>
  <c r="L66" i="13" s="1"/>
  <c r="L67" i="13" s="1"/>
  <c r="N23" i="15"/>
  <c r="N12" i="15"/>
  <c r="M57" i="15"/>
  <c r="O53" i="15"/>
  <c r="O26" i="15"/>
  <c r="P26" i="15" s="1"/>
  <c r="O20" i="15"/>
  <c r="O21" i="15" s="1"/>
  <c r="O61" i="15"/>
  <c r="P61" i="15" s="1"/>
  <c r="O55" i="15"/>
  <c r="P55" i="15" s="1"/>
  <c r="O50" i="15"/>
  <c r="P50" i="15" s="1"/>
  <c r="O59" i="15"/>
  <c r="O27" i="15"/>
  <c r="P27" i="15" s="1"/>
  <c r="O56" i="15"/>
  <c r="P56" i="15" s="1"/>
  <c r="O49" i="15"/>
  <c r="O28" i="15"/>
  <c r="P28" i="15" s="1"/>
  <c r="O60" i="15"/>
  <c r="P60" i="15" s="1"/>
  <c r="O25" i="15"/>
  <c r="O47" i="15"/>
  <c r="P17" i="15"/>
  <c r="O18" i="15"/>
  <c r="L63" i="15"/>
  <c r="N57" i="15"/>
  <c r="L72" i="15"/>
  <c r="L30" i="15"/>
  <c r="M12" i="15"/>
  <c r="M23" i="15"/>
  <c r="O65" i="15"/>
  <c r="P65" i="15" s="1"/>
  <c r="P16" i="15"/>
  <c r="K71" i="15"/>
  <c r="K74" i="15" s="1"/>
  <c r="K75" i="15" s="1"/>
  <c r="K64" i="15"/>
  <c r="N51" i="15"/>
  <c r="M29" i="15"/>
  <c r="M51" i="15"/>
  <c r="K31" i="15"/>
  <c r="K66" i="15"/>
  <c r="N62" i="15"/>
  <c r="M22" i="15"/>
  <c r="N22" i="15" s="1"/>
  <c r="P23" i="14"/>
  <c r="P12" i="14"/>
  <c r="O72" i="14"/>
  <c r="O30" i="14"/>
  <c r="N72" i="14"/>
  <c r="N30" i="14"/>
  <c r="N63" i="14"/>
  <c r="P51" i="14"/>
  <c r="P57" i="14"/>
  <c r="O71" i="14"/>
  <c r="O64" i="14"/>
  <c r="P29" i="14"/>
  <c r="P30" i="14" s="1"/>
  <c r="P31" i="14" s="1"/>
  <c r="N61" i="13"/>
  <c r="N55" i="13"/>
  <c r="N50" i="13"/>
  <c r="N59" i="13"/>
  <c r="N60" i="13"/>
  <c r="N28" i="13"/>
  <c r="N26" i="13"/>
  <c r="N20" i="13"/>
  <c r="N21" i="13" s="1"/>
  <c r="N27" i="13"/>
  <c r="N25" i="13"/>
  <c r="N56" i="13"/>
  <c r="N53" i="13"/>
  <c r="N49" i="13"/>
  <c r="N47" i="13"/>
  <c r="N18" i="13"/>
  <c r="L31" i="13"/>
  <c r="M64" i="13"/>
  <c r="M71" i="13"/>
  <c r="M72" i="13"/>
  <c r="M30" i="13"/>
  <c r="O65" i="13"/>
  <c r="P65" i="13" s="1"/>
  <c r="P16" i="13"/>
  <c r="K66" i="13"/>
  <c r="K67" i="13" s="1"/>
  <c r="K31" i="13"/>
  <c r="O17" i="13"/>
  <c r="M56" i="12"/>
  <c r="M25" i="12"/>
  <c r="M28" i="12"/>
  <c r="M26" i="12"/>
  <c r="L12" i="12"/>
  <c r="L23" i="12"/>
  <c r="L35" i="4"/>
  <c r="L33" i="4"/>
  <c r="L32" i="4"/>
  <c r="M59" i="12"/>
  <c r="L29" i="12"/>
  <c r="L30" i="12" s="1"/>
  <c r="J64" i="12"/>
  <c r="J71" i="12"/>
  <c r="J74" i="12" s="1"/>
  <c r="J75" i="12" s="1"/>
  <c r="K72" i="12"/>
  <c r="M18" i="12"/>
  <c r="L22" i="12"/>
  <c r="K36" i="4"/>
  <c r="L17" i="4"/>
  <c r="M55" i="12"/>
  <c r="M49" i="12"/>
  <c r="M27" i="12"/>
  <c r="L62" i="12"/>
  <c r="K63" i="12"/>
  <c r="K71" i="12" s="1"/>
  <c r="M20" i="12"/>
  <c r="M21" i="12" s="1"/>
  <c r="M23" i="12" s="1"/>
  <c r="M61" i="12"/>
  <c r="M50" i="12"/>
  <c r="M47" i="12"/>
  <c r="L57" i="12"/>
  <c r="M53" i="12"/>
  <c r="M60" i="12"/>
  <c r="N17" i="12"/>
  <c r="M16" i="4"/>
  <c r="O16" i="12"/>
  <c r="O65" i="12" s="1"/>
  <c r="H93" i="4"/>
  <c r="H94" i="4" s="1"/>
  <c r="N15" i="4"/>
  <c r="N83" i="4" s="1"/>
  <c r="I94" i="4"/>
  <c r="K78" i="4"/>
  <c r="J38" i="4"/>
  <c r="J92" i="4"/>
  <c r="P13" i="12"/>
  <c r="J80" i="4"/>
  <c r="J28" i="4"/>
  <c r="J20" i="4"/>
  <c r="J95" i="4" s="1"/>
  <c r="O22" i="4"/>
  <c r="P22" i="4" s="1"/>
  <c r="O12" i="4"/>
  <c r="O13" i="4"/>
  <c r="P13" i="4" s="1"/>
  <c r="P9" i="4"/>
  <c r="K27" i="4"/>
  <c r="K11" i="4" s="1"/>
  <c r="M34" i="4"/>
  <c r="M77" i="4"/>
  <c r="L77" i="4"/>
  <c r="L34" i="4"/>
  <c r="L75" i="4"/>
  <c r="L61" i="4"/>
  <c r="L70" i="4"/>
  <c r="L76" i="4"/>
  <c r="L71" i="4"/>
  <c r="L25" i="4"/>
  <c r="L64" i="4"/>
  <c r="L65" i="4"/>
  <c r="K66" i="4"/>
  <c r="K72" i="4"/>
  <c r="M76" i="4" l="1"/>
  <c r="M68" i="4"/>
  <c r="M71" i="4"/>
  <c r="N30" i="15"/>
  <c r="P63" i="14"/>
  <c r="P64" i="14" s="1"/>
  <c r="N51" i="13"/>
  <c r="O74" i="14"/>
  <c r="O75" i="14" s="1"/>
  <c r="M74" i="13"/>
  <c r="M75" i="13" s="1"/>
  <c r="O51" i="15"/>
  <c r="P51" i="15" s="1"/>
  <c r="N57" i="13"/>
  <c r="L71" i="13"/>
  <c r="L74" i="13" s="1"/>
  <c r="L75" i="13" s="1"/>
  <c r="L64" i="13"/>
  <c r="O23" i="15"/>
  <c r="O12" i="15"/>
  <c r="M72" i="15"/>
  <c r="M30" i="15"/>
  <c r="P20" i="15"/>
  <c r="P21" i="15" s="1"/>
  <c r="P47" i="15"/>
  <c r="O57" i="15"/>
  <c r="P57" i="15" s="1"/>
  <c r="L31" i="15"/>
  <c r="L66" i="15"/>
  <c r="L67" i="15" s="1"/>
  <c r="O62" i="15"/>
  <c r="P62" i="15" s="1"/>
  <c r="P59" i="15"/>
  <c r="P49" i="15"/>
  <c r="L64" i="15"/>
  <c r="L71" i="15"/>
  <c r="L74" i="15" s="1"/>
  <c r="L75" i="15" s="1"/>
  <c r="M63" i="15"/>
  <c r="O22" i="15"/>
  <c r="P53" i="15"/>
  <c r="N63" i="15"/>
  <c r="O29" i="15"/>
  <c r="P25" i="15"/>
  <c r="P29" i="15" s="1"/>
  <c r="P30" i="15" s="1"/>
  <c r="P31" i="15" s="1"/>
  <c r="N31" i="15"/>
  <c r="K67" i="15"/>
  <c r="N66" i="14"/>
  <c r="N67" i="14" s="1"/>
  <c r="N31" i="14"/>
  <c r="N64" i="14"/>
  <c r="N71" i="14"/>
  <c r="N74" i="14" s="1"/>
  <c r="N75" i="14" s="1"/>
  <c r="O31" i="14"/>
  <c r="O66" i="14"/>
  <c r="N23" i="13"/>
  <c r="N12" i="13"/>
  <c r="N22" i="13"/>
  <c r="O18" i="13"/>
  <c r="N62" i="13"/>
  <c r="N63" i="13" s="1"/>
  <c r="O53" i="13"/>
  <c r="O61" i="13"/>
  <c r="P61" i="13" s="1"/>
  <c r="O55" i="13"/>
  <c r="P55" i="13" s="1"/>
  <c r="O50" i="13"/>
  <c r="P50" i="13" s="1"/>
  <c r="O59" i="13"/>
  <c r="O27" i="13"/>
  <c r="P27" i="13" s="1"/>
  <c r="O49" i="13"/>
  <c r="O56" i="13"/>
  <c r="P56" i="13" s="1"/>
  <c r="O60" i="13"/>
  <c r="P60" i="13" s="1"/>
  <c r="O28" i="13"/>
  <c r="P28" i="13" s="1"/>
  <c r="O26" i="13"/>
  <c r="P26" i="13" s="1"/>
  <c r="O25" i="13"/>
  <c r="O20" i="13"/>
  <c r="O21" i="13" s="1"/>
  <c r="O47" i="13"/>
  <c r="P17" i="13"/>
  <c r="M66" i="13"/>
  <c r="M67" i="13" s="1"/>
  <c r="M31" i="13"/>
  <c r="N29" i="13"/>
  <c r="N50" i="12"/>
  <c r="N28" i="12"/>
  <c r="N25" i="12"/>
  <c r="N26" i="12"/>
  <c r="M22" i="12"/>
  <c r="K74" i="12"/>
  <c r="K75" i="12" s="1"/>
  <c r="M64" i="4"/>
  <c r="M33" i="4"/>
  <c r="M32" i="4"/>
  <c r="M29" i="12"/>
  <c r="M72" i="12" s="1"/>
  <c r="M57" i="12"/>
  <c r="M35" i="4"/>
  <c r="L36" i="4"/>
  <c r="M70" i="4"/>
  <c r="M61" i="4"/>
  <c r="M75" i="4"/>
  <c r="M78" i="4" s="1"/>
  <c r="L63" i="12"/>
  <c r="L71" i="12" s="1"/>
  <c r="K64" i="12"/>
  <c r="M12" i="12"/>
  <c r="K66" i="12"/>
  <c r="K67" i="12" s="1"/>
  <c r="M51" i="12"/>
  <c r="L72" i="12"/>
  <c r="M62" i="12"/>
  <c r="N49" i="12"/>
  <c r="N51" i="12" s="1"/>
  <c r="N55" i="12"/>
  <c r="N59" i="12"/>
  <c r="N56" i="12"/>
  <c r="N27" i="12"/>
  <c r="N53" i="12"/>
  <c r="N60" i="12"/>
  <c r="N47" i="12"/>
  <c r="N20" i="12"/>
  <c r="N21" i="12" s="1"/>
  <c r="N23" i="12" s="1"/>
  <c r="N61" i="12"/>
  <c r="N18" i="12"/>
  <c r="P16" i="12"/>
  <c r="P65" i="12"/>
  <c r="M17" i="4"/>
  <c r="M25" i="4"/>
  <c r="M27" i="4" s="1"/>
  <c r="M65" i="4"/>
  <c r="J39" i="4"/>
  <c r="J84" i="4"/>
  <c r="J85" i="4" s="1"/>
  <c r="N16" i="4"/>
  <c r="N68" i="4" s="1"/>
  <c r="L31" i="12"/>
  <c r="O17" i="12"/>
  <c r="O15" i="4"/>
  <c r="O83" i="4" s="1"/>
  <c r="J81" i="4"/>
  <c r="J91" i="4"/>
  <c r="L78" i="4"/>
  <c r="K38" i="4"/>
  <c r="K92" i="4"/>
  <c r="K80" i="4"/>
  <c r="K28" i="4"/>
  <c r="K20" i="4"/>
  <c r="K95" i="4" s="1"/>
  <c r="L27" i="4"/>
  <c r="L11" i="4" s="1"/>
  <c r="L72" i="4"/>
  <c r="L66" i="4"/>
  <c r="P63" i="15" l="1"/>
  <c r="P64" i="15" s="1"/>
  <c r="O63" i="15"/>
  <c r="P23" i="15"/>
  <c r="P12" i="15"/>
  <c r="O64" i="15"/>
  <c r="O71" i="15"/>
  <c r="N64" i="15"/>
  <c r="N71" i="15"/>
  <c r="N74" i="15" s="1"/>
  <c r="N75" i="15" s="1"/>
  <c r="O72" i="15"/>
  <c r="O30" i="15"/>
  <c r="M66" i="15"/>
  <c r="M31" i="15"/>
  <c r="M64" i="15"/>
  <c r="M71" i="15"/>
  <c r="M74" i="15" s="1"/>
  <c r="M75" i="15" s="1"/>
  <c r="N66" i="15"/>
  <c r="N67" i="15" s="1"/>
  <c r="O67" i="14"/>
  <c r="P66" i="14"/>
  <c r="P67" i="14" s="1"/>
  <c r="O23" i="13"/>
  <c r="O12" i="13"/>
  <c r="O57" i="13"/>
  <c r="P57" i="13" s="1"/>
  <c r="P53" i="13"/>
  <c r="P20" i="13"/>
  <c r="P21" i="13" s="1"/>
  <c r="P47" i="13"/>
  <c r="N64" i="13"/>
  <c r="N71" i="13"/>
  <c r="O29" i="13"/>
  <c r="P25" i="13"/>
  <c r="P29" i="13" s="1"/>
  <c r="P30" i="13" s="1"/>
  <c r="P31" i="13" s="1"/>
  <c r="O51" i="13"/>
  <c r="P49" i="13"/>
  <c r="O62" i="13"/>
  <c r="P62" i="13" s="1"/>
  <c r="P59" i="13"/>
  <c r="O22" i="13"/>
  <c r="N72" i="13"/>
  <c r="N30" i="13"/>
  <c r="O28" i="12"/>
  <c r="O26" i="12"/>
  <c r="O25" i="12"/>
  <c r="M36" i="4"/>
  <c r="M92" i="4" s="1"/>
  <c r="N22" i="12"/>
  <c r="M66" i="4"/>
  <c r="M72" i="4"/>
  <c r="N33" i="4"/>
  <c r="N32" i="4"/>
  <c r="N29" i="12"/>
  <c r="N30" i="12" s="1"/>
  <c r="N31" i="12" s="1"/>
  <c r="M30" i="12"/>
  <c r="M31" i="12" s="1"/>
  <c r="M63" i="12"/>
  <c r="M64" i="12" s="1"/>
  <c r="N35" i="4"/>
  <c r="N34" i="4"/>
  <c r="L66" i="12"/>
  <c r="L67" i="12" s="1"/>
  <c r="L64" i="12"/>
  <c r="L74" i="12"/>
  <c r="L75" i="12" s="1"/>
  <c r="N57" i="12"/>
  <c r="N62" i="12"/>
  <c r="N12" i="12"/>
  <c r="N65" i="4"/>
  <c r="N77" i="4"/>
  <c r="N76" i="4"/>
  <c r="N25" i="4"/>
  <c r="N27" i="4" s="1"/>
  <c r="N75" i="4"/>
  <c r="N61" i="4"/>
  <c r="N70" i="4"/>
  <c r="K39" i="4"/>
  <c r="K84" i="4"/>
  <c r="K85" i="4" s="1"/>
  <c r="N17" i="4"/>
  <c r="N71" i="4"/>
  <c r="N64" i="4"/>
  <c r="P15" i="4"/>
  <c r="P83" i="4"/>
  <c r="O53" i="12"/>
  <c r="P53" i="12" s="1"/>
  <c r="P17" i="12"/>
  <c r="P20" i="12" s="1"/>
  <c r="P21" i="12" s="1"/>
  <c r="O59" i="12"/>
  <c r="P59" i="12" s="1"/>
  <c r="O18" i="12"/>
  <c r="P28" i="12" s="1"/>
  <c r="O16" i="4"/>
  <c r="O68" i="4" s="1"/>
  <c r="J93" i="4"/>
  <c r="J94" i="4" s="1"/>
  <c r="K81" i="4"/>
  <c r="K91" i="4"/>
  <c r="K93" i="4" s="1"/>
  <c r="L38" i="4"/>
  <c r="L92" i="4"/>
  <c r="O47" i="12"/>
  <c r="O50" i="12"/>
  <c r="P50" i="12" s="1"/>
  <c r="O55" i="12"/>
  <c r="O60" i="12"/>
  <c r="P26" i="12"/>
  <c r="O20" i="12"/>
  <c r="O21" i="12" s="1"/>
  <c r="O56" i="12"/>
  <c r="P56" i="12" s="1"/>
  <c r="O49" i="12"/>
  <c r="O27" i="12"/>
  <c r="P27" i="12" s="1"/>
  <c r="O61" i="12"/>
  <c r="P61" i="12" s="1"/>
  <c r="M11" i="4"/>
  <c r="L80" i="4"/>
  <c r="L28" i="4"/>
  <c r="M28" i="4" s="1"/>
  <c r="L20" i="4"/>
  <c r="L95" i="4" s="1"/>
  <c r="M20" i="4"/>
  <c r="M95" i="4" s="1"/>
  <c r="P12" i="4"/>
  <c r="N74" i="13" l="1"/>
  <c r="N75" i="13" s="1"/>
  <c r="O74" i="15"/>
  <c r="O75" i="15" s="1"/>
  <c r="O31" i="15"/>
  <c r="O66" i="15"/>
  <c r="O67" i="15" s="1"/>
  <c r="M67" i="15"/>
  <c r="P66" i="15"/>
  <c r="P67" i="15" s="1"/>
  <c r="P23" i="13"/>
  <c r="P12" i="13"/>
  <c r="O63" i="13"/>
  <c r="P51" i="13"/>
  <c r="P63" i="13" s="1"/>
  <c r="P64" i="13" s="1"/>
  <c r="N66" i="13"/>
  <c r="N67" i="13" s="1"/>
  <c r="N31" i="13"/>
  <c r="O72" i="13"/>
  <c r="O30" i="13"/>
  <c r="M38" i="4"/>
  <c r="M39" i="4" s="1"/>
  <c r="O22" i="12"/>
  <c r="O23" i="12"/>
  <c r="P12" i="12"/>
  <c r="P23" i="12"/>
  <c r="N72" i="12"/>
  <c r="M80" i="4"/>
  <c r="M91" i="4" s="1"/>
  <c r="M93" i="4" s="1"/>
  <c r="M94" i="4" s="1"/>
  <c r="O35" i="4"/>
  <c r="P35" i="4" s="1"/>
  <c r="O33" i="4"/>
  <c r="O32" i="4"/>
  <c r="N72" i="4"/>
  <c r="M66" i="12"/>
  <c r="M67" i="12" s="1"/>
  <c r="P25" i="12"/>
  <c r="P29" i="12" s="1"/>
  <c r="P30" i="12" s="1"/>
  <c r="O29" i="12"/>
  <c r="M71" i="12"/>
  <c r="M74" i="12" s="1"/>
  <c r="M75" i="12" s="1"/>
  <c r="N63" i="12"/>
  <c r="N71" i="12" s="1"/>
  <c r="N36" i="4"/>
  <c r="N92" i="4" s="1"/>
  <c r="N66" i="4"/>
  <c r="N78" i="4"/>
  <c r="O51" i="12"/>
  <c r="P51" i="12" s="1"/>
  <c r="L39" i="4"/>
  <c r="L84" i="4"/>
  <c r="L85" i="4" s="1"/>
  <c r="K94" i="4"/>
  <c r="P16" i="4"/>
  <c r="P61" i="4" s="1"/>
  <c r="M81" i="4"/>
  <c r="L81" i="4"/>
  <c r="L91" i="4"/>
  <c r="P60" i="12"/>
  <c r="O62" i="12"/>
  <c r="P62" i="12" s="1"/>
  <c r="O57" i="12"/>
  <c r="P57" i="12" s="1"/>
  <c r="P55" i="12"/>
  <c r="O12" i="12"/>
  <c r="P47" i="12"/>
  <c r="P49" i="12"/>
  <c r="N11" i="4"/>
  <c r="N28" i="4"/>
  <c r="N20" i="4"/>
  <c r="N95" i="4" s="1"/>
  <c r="O66" i="13" l="1"/>
  <c r="O31" i="13"/>
  <c r="O64" i="13"/>
  <c r="O71" i="13"/>
  <c r="O74" i="13" s="1"/>
  <c r="O75" i="13" s="1"/>
  <c r="M84" i="4"/>
  <c r="M85" i="4" s="1"/>
  <c r="N74" i="12"/>
  <c r="N75" i="12" s="1"/>
  <c r="N80" i="4"/>
  <c r="N81" i="4" s="1"/>
  <c r="N64" i="12"/>
  <c r="N66" i="12"/>
  <c r="N67" i="12" s="1"/>
  <c r="N38" i="4"/>
  <c r="L93" i="4"/>
  <c r="L94" i="4" s="1"/>
  <c r="P63" i="12"/>
  <c r="P64" i="12" s="1"/>
  <c r="O63" i="12"/>
  <c r="O30" i="12"/>
  <c r="O31" i="12" s="1"/>
  <c r="O72" i="12"/>
  <c r="P31" i="12"/>
  <c r="P25" i="4"/>
  <c r="O25" i="4"/>
  <c r="P33" i="4"/>
  <c r="O17" i="4"/>
  <c r="O76" i="4"/>
  <c r="P76" i="4" s="1"/>
  <c r="O65" i="4"/>
  <c r="P65" i="4" s="1"/>
  <c r="O75" i="4"/>
  <c r="O70" i="4"/>
  <c r="O77" i="4"/>
  <c r="P77" i="4" s="1"/>
  <c r="O71" i="4"/>
  <c r="P71" i="4" s="1"/>
  <c r="O61" i="4"/>
  <c r="O34" i="4"/>
  <c r="P34" i="4" s="1"/>
  <c r="O64" i="4"/>
  <c r="O67" i="13" l="1"/>
  <c r="P66" i="13"/>
  <c r="P67" i="13" s="1"/>
  <c r="N91" i="4"/>
  <c r="N93" i="4" s="1"/>
  <c r="N94" i="4" s="1"/>
  <c r="N84" i="4"/>
  <c r="N85" i="4" s="1"/>
  <c r="N39" i="4"/>
  <c r="O36" i="4"/>
  <c r="O66" i="12"/>
  <c r="P66" i="12" s="1"/>
  <c r="P75" i="4"/>
  <c r="O78" i="4"/>
  <c r="P78" i="4" s="1"/>
  <c r="O64" i="12"/>
  <c r="O71" i="12"/>
  <c r="O74" i="12" s="1"/>
  <c r="O75" i="12" s="1"/>
  <c r="P27" i="4"/>
  <c r="P11" i="4" s="1"/>
  <c r="O27" i="4"/>
  <c r="O11" i="4" s="1"/>
  <c r="P70" i="4"/>
  <c r="O66" i="4"/>
  <c r="P64" i="4"/>
  <c r="P32" i="4"/>
  <c r="O72" i="4"/>
  <c r="P68" i="4"/>
  <c r="P36" i="4" l="1"/>
  <c r="P38" i="4" s="1"/>
  <c r="P39" i="4" s="1"/>
  <c r="O67" i="12"/>
  <c r="P67" i="12"/>
  <c r="O38" i="4"/>
  <c r="O92" i="4"/>
  <c r="P72" i="4"/>
  <c r="O80" i="4"/>
  <c r="O28" i="4"/>
  <c r="O20" i="4"/>
  <c r="P24" i="4"/>
  <c r="P66" i="4"/>
  <c r="O39" i="4" l="1"/>
  <c r="O84" i="4"/>
  <c r="O85" i="4" s="1"/>
  <c r="P20" i="4"/>
  <c r="O95" i="4"/>
  <c r="O81" i="4"/>
  <c r="O91" i="4"/>
  <c r="O93" i="4" s="1"/>
  <c r="O94" i="4" s="1"/>
  <c r="P80" i="4"/>
  <c r="P84" i="4" l="1"/>
  <c r="P85" i="4" l="1"/>
</calcChain>
</file>

<file path=xl/sharedStrings.xml><?xml version="1.0" encoding="utf-8"?>
<sst xmlns="http://schemas.openxmlformats.org/spreadsheetml/2006/main" count="403" uniqueCount="91">
  <si>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</si>
  <si>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</si>
  <si>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</si>
  <si>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</si>
  <si>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</si>
  <si>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</si>
  <si>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</si>
  <si>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</si>
  <si>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</si>
  <si>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</si>
  <si>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Days/Guests</t>
  </si>
  <si>
    <t>January</t>
  </si>
  <si>
    <t>December</t>
  </si>
  <si>
    <t>Gross Income IDR</t>
  </si>
  <si>
    <t>Net Income pre Tax/Service</t>
  </si>
  <si>
    <t>Total Guests per month</t>
  </si>
  <si>
    <t>Taxes and Service Charge Provision</t>
  </si>
  <si>
    <t>Total Income IDR</t>
  </si>
  <si>
    <t>Less Direct Costs</t>
  </si>
  <si>
    <t>Total Direct Costs</t>
  </si>
  <si>
    <t>Gross Profit</t>
  </si>
  <si>
    <t>Gross Profit Margin</t>
  </si>
  <si>
    <t>Overhead Expenses</t>
  </si>
  <si>
    <t>Salary &amp; Wages Package</t>
  </si>
  <si>
    <t>Staff Wages - Bar Staff</t>
  </si>
  <si>
    <t>Staff Wages - Kitchen</t>
  </si>
  <si>
    <t>Total Staff - Full Time</t>
  </si>
  <si>
    <t>Advertising &amp; Promotion</t>
  </si>
  <si>
    <t>Marketing Material/Printing etc</t>
  </si>
  <si>
    <t>Overhead &amp; General Expenses</t>
  </si>
  <si>
    <t>Admin/Management Fees</t>
  </si>
  <si>
    <t>Bank &amp; Card Fees/Interest</t>
  </si>
  <si>
    <t>Sundry Overhead &amp; Costs</t>
  </si>
  <si>
    <t>Total Overhead Expenses</t>
  </si>
  <si>
    <t>EBITDA</t>
  </si>
  <si>
    <t>EBITDA Margin</t>
  </si>
  <si>
    <t>Staff Wages - Management</t>
  </si>
  <si>
    <t>Total Expenses</t>
  </si>
  <si>
    <t>Rosalita's Cantina</t>
  </si>
  <si>
    <t>Accumulated Net Income pre Tax/Service</t>
  </si>
  <si>
    <t>Costs of Entertainment</t>
  </si>
  <si>
    <t>Staff Wages - Music/DJ</t>
  </si>
  <si>
    <t>Staff Wages - Waiter/Waitress</t>
  </si>
  <si>
    <t>Sales &amp; Marketing Costs</t>
  </si>
  <si>
    <t>Property Rents, Repairs &amp; Maintenance</t>
  </si>
  <si>
    <t>Rents &amp; Leases</t>
  </si>
  <si>
    <t>Communication Costs</t>
  </si>
  <si>
    <t>Electric &amp; Gas</t>
  </si>
  <si>
    <t>Target Revenue - Food</t>
  </si>
  <si>
    <t>Target Revenue - Beverage</t>
  </si>
  <si>
    <t>Target Number of Guests - per day</t>
  </si>
  <si>
    <t>Target Number of Guests - per month</t>
  </si>
  <si>
    <t>Total Income IDR - Accumulated</t>
  </si>
  <si>
    <t>Profit &amp; Loss Projections 2026</t>
  </si>
  <si>
    <t>PT Rosalita Cantina Bali</t>
  </si>
  <si>
    <t>Target Spend - Including Tax &amp; Service</t>
  </si>
  <si>
    <t>Target Spend - Net of Tax &amp; Service</t>
  </si>
  <si>
    <t>Spend per Guest - Actual</t>
  </si>
  <si>
    <t>Purchases Beverage &amp; Other</t>
  </si>
  <si>
    <t xml:space="preserve">Purchases Food </t>
  </si>
  <si>
    <t>Staff Wages - Store/Cleaning &amp; GRO</t>
  </si>
  <si>
    <t>Body Corporate &amp; Maintenance</t>
  </si>
  <si>
    <t>Staff Travel/Meal/PBJS etc</t>
  </si>
  <si>
    <t xml:space="preserve">Seminyak Square </t>
  </si>
  <si>
    <t>Profit &amp; Loss Projections 2027</t>
  </si>
  <si>
    <t>Total 2027</t>
  </si>
  <si>
    <t>Total 2026</t>
  </si>
  <si>
    <t>Repairs &amp; Maintenance/Replacements</t>
  </si>
  <si>
    <t>StarCARD Merchant (No Discounts/No FOC)</t>
  </si>
  <si>
    <t>Breakeven Calculation</t>
  </si>
  <si>
    <t>Fixed Costs</t>
  </si>
  <si>
    <t>Revenue Requirement per month</t>
  </si>
  <si>
    <t>Variable Costs</t>
  </si>
  <si>
    <t>Revenue Requirement per Day</t>
  </si>
  <si>
    <t>Gross Income Requirement per month</t>
  </si>
  <si>
    <t>Gross Revenue Requirement per Day</t>
  </si>
  <si>
    <t>Gross Income Requirement per Day - Budgeted</t>
  </si>
  <si>
    <t>Add Back StarCARD Benefit</t>
  </si>
  <si>
    <t>Body Corporate</t>
  </si>
  <si>
    <t>Actual</t>
  </si>
  <si>
    <t>Staff Wages - Reception/Cashier/Supervisor</t>
  </si>
  <si>
    <t>Other Direct Expenses</t>
  </si>
  <si>
    <t>Add Back StarPOINTS Benefit</t>
  </si>
  <si>
    <t>Total Income per Day</t>
  </si>
  <si>
    <t>Management</t>
  </si>
  <si>
    <t>StarCARD Cash Back Provision</t>
  </si>
  <si>
    <t>StarCARD Cash Back Provision/Discounts/FOC</t>
  </si>
  <si>
    <t>Profit &amp; Loss Projections 2028</t>
  </si>
  <si>
    <t>Total 2028</t>
  </si>
  <si>
    <t>GoFood/Chickenria Container Dewi Sri</t>
  </si>
  <si>
    <t>GoFood/Chickenria Containers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</si>
</sst>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[$$-C09]#,##0.00"/>
    <numFmt numFmtId="165" formatCode="[$$-C09]#,##0"/>
  </numFmts>
  <fonts count="33">
    <font>
      <sz val="10"/>
      <color indexed="8"/>
      <name val="Helvetica Neue"/>
    </font>
    <font>
      <sz val="11"/>
      <color theme="1"/>
      <name val="Helvetica Neue"/>
      <family val="2"/>
      <scheme val="minor"/>
    </font>
    <font>
      <sz val="10"/>
      <name val="Arial"/>
      <family val="2"/>
    </font>
    <font>
      <sz val="10"/>
      <color indexed="8"/>
      <name val="Helvetica Neue"/>
    </font>
    <font>
      <b/>
      <sz val="10"/>
      <color indexed="8"/>
      <name val="Helvetica Neue"/>
    </font>
    <font>
      <sz val="12"/>
      <color indexed="8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color rgb="FF00B05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u/>
      <sz val="12"/>
      <name val="Calibri"/>
      <family val="2"/>
    </font>
    <font>
      <b/>
      <sz val="12"/>
      <color indexed="8"/>
      <name val="Calibri"/>
      <family val="2"/>
    </font>
    <font>
      <b/>
      <u/>
      <sz val="12"/>
      <color rgb="FF00B050"/>
      <name val="Calibri"/>
      <family val="2"/>
    </font>
    <font>
      <sz val="18"/>
      <color theme="3"/>
      <name val="Helvetica Neue"/>
      <family val="2"/>
      <scheme val="major"/>
    </font>
    <font>
      <b/>
      <sz val="15"/>
      <color theme="3"/>
      <name val="Helvetica Neue"/>
      <family val="2"/>
      <scheme val="minor"/>
    </font>
    <font>
      <b/>
      <sz val="13"/>
      <color theme="3"/>
      <name val="Helvetica Neue"/>
      <family val="2"/>
      <scheme val="minor"/>
    </font>
    <font>
      <b/>
      <sz val="11"/>
      <color theme="3"/>
      <name val="Helvetica Neue"/>
      <family val="2"/>
      <scheme val="minor"/>
    </font>
    <font>
      <sz val="11"/>
      <color rgb="FF006100"/>
      <name val="Helvetica Neue"/>
      <family val="2"/>
      <scheme val="minor"/>
    </font>
    <font>
      <sz val="11"/>
      <color rgb="FF9C0006"/>
      <name val="Helvetica Neue"/>
      <family val="2"/>
      <scheme val="minor"/>
    </font>
    <font>
      <sz val="11"/>
      <color rgb="FF9C5700"/>
      <name val="Helvetica Neue"/>
      <family val="2"/>
      <scheme val="minor"/>
    </font>
    <font>
      <sz val="11"/>
      <color rgb="FF3F3F76"/>
      <name val="Helvetica Neue"/>
      <family val="2"/>
      <scheme val="minor"/>
    </font>
    <font>
      <b/>
      <sz val="11"/>
      <color rgb="FF3F3F3F"/>
      <name val="Helvetica Neue"/>
      <family val="2"/>
      <scheme val="minor"/>
    </font>
    <font>
      <b/>
      <sz val="11"/>
      <color rgb="FFFA7D00"/>
      <name val="Helvetica Neue"/>
      <family val="2"/>
      <scheme val="minor"/>
    </font>
    <font>
      <sz val="11"/>
      <color rgb="FFFA7D00"/>
      <name val="Helvetica Neue"/>
      <family val="2"/>
      <scheme val="minor"/>
    </font>
    <font>
      <b/>
      <sz val="11"/>
      <color theme="0"/>
      <name val="Helvetica Neue"/>
      <family val="2"/>
      <scheme val="minor"/>
    </font>
    <font>
      <sz val="11"/>
      <color rgb="FFFF0000"/>
      <name val="Helvetica Neue"/>
      <family val="2"/>
      <scheme val="minor"/>
    </font>
    <font>
      <i/>
      <sz val="11"/>
      <color rgb="FF7F7F7F"/>
      <name val="Helvetica Neue"/>
      <family val="2"/>
      <scheme val="minor"/>
    </font>
    <font>
      <b/>
      <sz val="11"/>
      <color theme="1"/>
      <name val="Helvetica Neue"/>
      <family val="2"/>
      <scheme val="minor"/>
    </font>
    <font>
      <sz val="11"/>
      <color theme="0"/>
      <name val="Helvetica Neue"/>
      <family val="2"/>
      <scheme val="minor"/>
    </font>
    <font>
      <b/>
      <sz val="10"/>
      <color rgb="FF00B050"/>
      <name val="Helvetica Neue"/>
    </font>
    <font>
      <sz val="10"/>
      <color rgb="FF00B050"/>
      <name val="Helvetica Neue"/>
    </font>
  </fonts>
  <fills count="3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A5A5A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3F3F3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6">
    <xf numFmtId="0" fontId="0" fillId="0" borderId="0" applyNumberFormat="0" applyFill="0" applyBorder="0" applyProtection="0">
      <alignment vertical="top" wrapText="1"/>
    </xf>
    <xf numFmtId="44" fontId="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21" applyNumberFormat="0" applyFill="0" applyAlignment="0" applyProtection="0"/>
    <xf numFmtId="0" fontId="17" fillId="0" borderId="22" applyNumberFormat="0" applyFill="0" applyAlignment="0" applyProtection="0"/>
    <xf numFmtId="0" fontId="18" fillId="0" borderId="23" applyNumberFormat="0" applyFill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8" borderId="24" applyNumberFormat="0" applyAlignment="0" applyProtection="0"/>
    <xf numFmtId="0" fontId="23" fillId="9" borderId="25" applyNumberFormat="0" applyAlignment="0" applyProtection="0"/>
    <xf numFmtId="0" fontId="24" fillId="9" borderId="24" applyNumberFormat="0" applyAlignment="0" applyProtection="0"/>
    <xf numFmtId="0" fontId="25" fillId="0" borderId="26" applyNumberFormat="0" applyFill="0" applyAlignment="0" applyProtection="0"/>
    <xf numFmtId="0" fontId="26" fillId="10" borderId="27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9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28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0" borderId="0" xfId="0" applyFont="1" applyAlignment="1"/>
    <xf numFmtId="0" fontId="0" fillId="0" borderId="0" xfId="0" applyAlignment="1"/>
    <xf numFmtId="0" fontId="0" fillId="0" borderId="2" xfId="0" applyBorder="1" applyAlignment="1"/>
    <xf numFmtId="0" fontId="6" fillId="0" borderId="0" xfId="0" applyFont="1" applyAlignment="1"/>
    <xf numFmtId="0" fontId="7" fillId="0" borderId="0" xfId="0" applyFont="1" applyAlignment="1"/>
    <xf numFmtId="0" fontId="7" fillId="2" borderId="9" xfId="0" applyFont="1" applyFill="1" applyBorder="1" applyAlignment="1"/>
    <xf numFmtId="0" fontId="7" fillId="2" borderId="9" xfId="0" applyFont="1" applyFill="1" applyBorder="1" applyAlignment="1">
      <alignment horizontal="center"/>
    </xf>
    <xf numFmtId="17" fontId="7" fillId="2" borderId="1" xfId="0" applyNumberFormat="1" applyFont="1" applyFill="1" applyBorder="1" applyAlignment="1">
      <alignment horizontal="center"/>
    </xf>
    <xf numFmtId="3" fontId="7" fillId="0" borderId="1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0" fontId="5" fillId="0" borderId="0" xfId="0" applyFont="1" applyAlignment="1"/>
    <xf numFmtId="3" fontId="6" fillId="0" borderId="13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7" fillId="3" borderId="15" xfId="0" applyFont="1" applyFill="1" applyBorder="1" applyAlignment="1"/>
    <xf numFmtId="10" fontId="7" fillId="2" borderId="5" xfId="0" applyNumberFormat="1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0" fontId="7" fillId="3" borderId="5" xfId="0" applyFont="1" applyFill="1" applyBorder="1" applyAlignment="1"/>
    <xf numFmtId="3" fontId="7" fillId="2" borderId="5" xfId="0" applyNumberFormat="1" applyFont="1" applyFill="1" applyBorder="1" applyAlignment="1">
      <alignment horizontal="center"/>
    </xf>
    <xf numFmtId="0" fontId="9" fillId="3" borderId="5" xfId="0" applyFont="1" applyFill="1" applyBorder="1" applyAlignment="1"/>
    <xf numFmtId="10" fontId="9" fillId="2" borderId="5" xfId="0" applyNumberFormat="1" applyFont="1" applyFill="1" applyBorder="1" applyAlignment="1">
      <alignment horizontal="center"/>
    </xf>
    <xf numFmtId="3" fontId="9" fillId="2" borderId="5" xfId="0" applyNumberFormat="1" applyFont="1" applyFill="1" applyBorder="1" applyAlignment="1">
      <alignment horizontal="center"/>
    </xf>
    <xf numFmtId="3" fontId="7" fillId="2" borderId="11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3" fontId="7" fillId="2" borderId="9" xfId="0" applyNumberFormat="1" applyFont="1" applyFill="1" applyBorder="1" applyAlignment="1">
      <alignment horizontal="center"/>
    </xf>
    <xf numFmtId="10" fontId="7" fillId="2" borderId="9" xfId="0" applyNumberFormat="1" applyFont="1" applyFill="1" applyBorder="1" applyAlignment="1">
      <alignment horizontal="center"/>
    </xf>
    <xf numFmtId="0" fontId="7" fillId="3" borderId="4" xfId="0" applyFont="1" applyFill="1" applyBorder="1" applyAlignment="1"/>
    <xf numFmtId="164" fontId="7" fillId="2" borderId="4" xfId="0" applyNumberFormat="1" applyFont="1" applyFill="1" applyBorder="1" applyAlignment="1">
      <alignment horizontal="center"/>
    </xf>
    <xf numFmtId="3" fontId="7" fillId="2" borderId="14" xfId="0" applyNumberFormat="1" applyFont="1" applyFill="1" applyBorder="1" applyAlignment="1">
      <alignment horizontal="center"/>
    </xf>
    <xf numFmtId="3" fontId="7" fillId="2" borderId="6" xfId="0" applyNumberFormat="1" applyFont="1" applyFill="1" applyBorder="1" applyAlignment="1">
      <alignment horizontal="center"/>
    </xf>
    <xf numFmtId="10" fontId="6" fillId="0" borderId="10" xfId="0" applyNumberFormat="1" applyFont="1" applyBorder="1" applyAlignment="1">
      <alignment horizontal="center"/>
    </xf>
    <xf numFmtId="3" fontId="6" fillId="0" borderId="10" xfId="0" applyNumberFormat="1" applyFont="1" applyBorder="1" applyAlignment="1">
      <alignment horizontal="center"/>
    </xf>
    <xf numFmtId="10" fontId="7" fillId="0" borderId="4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0" fontId="11" fillId="3" borderId="7" xfId="0" applyFont="1" applyFill="1" applyBorder="1" applyAlignment="1">
      <alignment horizontal="left"/>
    </xf>
    <xf numFmtId="10" fontId="7" fillId="2" borderId="7" xfId="0" applyNumberFormat="1" applyFont="1" applyFill="1" applyBorder="1" applyAlignment="1">
      <alignment horizontal="center"/>
    </xf>
    <xf numFmtId="3" fontId="7" fillId="2" borderId="12" xfId="0" applyNumberFormat="1" applyFont="1" applyFill="1" applyBorder="1" applyAlignment="1">
      <alignment horizontal="center"/>
    </xf>
    <xf numFmtId="3" fontId="7" fillId="2" borderId="7" xfId="0" applyNumberFormat="1" applyFont="1" applyFill="1" applyBorder="1" applyAlignment="1">
      <alignment horizontal="center"/>
    </xf>
    <xf numFmtId="0" fontId="11" fillId="3" borderId="4" xfId="0" applyFont="1" applyFill="1" applyBorder="1" applyAlignment="1">
      <alignment horizontal="left"/>
    </xf>
    <xf numFmtId="10" fontId="7" fillId="2" borderId="4" xfId="0" applyNumberFormat="1" applyFont="1" applyFill="1" applyBorder="1" applyAlignment="1">
      <alignment horizontal="center"/>
    </xf>
    <xf numFmtId="10" fontId="7" fillId="2" borderId="14" xfId="0" applyNumberFormat="1" applyFont="1" applyFill="1" applyBorder="1" applyAlignment="1">
      <alignment horizontal="center"/>
    </xf>
    <xf numFmtId="10" fontId="7" fillId="2" borderId="6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1" fontId="6" fillId="0" borderId="10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center"/>
    </xf>
    <xf numFmtId="3" fontId="7" fillId="4" borderId="1" xfId="0" applyNumberFormat="1" applyFont="1" applyFill="1" applyBorder="1" applyAlignment="1">
      <alignment horizontal="center"/>
    </xf>
    <xf numFmtId="0" fontId="6" fillId="0" borderId="10" xfId="0" applyFont="1" applyBorder="1" applyAlignment="1"/>
    <xf numFmtId="0" fontId="7" fillId="2" borderId="7" xfId="0" applyFont="1" applyFill="1" applyBorder="1" applyAlignment="1"/>
    <xf numFmtId="0" fontId="12" fillId="2" borderId="4" xfId="0" applyFont="1" applyFill="1" applyBorder="1" applyAlignment="1"/>
    <xf numFmtId="0" fontId="6" fillId="0" borderId="2" xfId="0" applyFont="1" applyBorder="1" applyAlignment="1"/>
    <xf numFmtId="3" fontId="7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" fontId="7" fillId="2" borderId="9" xfId="0" applyNumberFormat="1" applyFont="1" applyFill="1" applyBorder="1" applyAlignment="1">
      <alignment horizontal="center"/>
    </xf>
    <xf numFmtId="0" fontId="5" fillId="0" borderId="2" xfId="0" applyFont="1" applyBorder="1" applyAlignment="1"/>
    <xf numFmtId="164" fontId="7" fillId="0" borderId="0" xfId="0" applyNumberFormat="1" applyFont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5" fillId="0" borderId="0" xfId="0" applyFont="1">
      <alignment vertical="top" wrapText="1"/>
    </xf>
    <xf numFmtId="1" fontId="7" fillId="2" borderId="19" xfId="0" applyNumberFormat="1" applyFont="1" applyFill="1" applyBorder="1" applyAlignment="1">
      <alignment horizontal="center"/>
    </xf>
    <xf numFmtId="0" fontId="10" fillId="0" borderId="10" xfId="0" applyFont="1" applyBorder="1" applyAlignment="1"/>
    <xf numFmtId="0" fontId="8" fillId="0" borderId="10" xfId="0" applyFont="1" applyBorder="1" applyAlignment="1"/>
    <xf numFmtId="44" fontId="10" fillId="0" borderId="16" xfId="1" applyFont="1" applyBorder="1" applyAlignment="1"/>
    <xf numFmtId="44" fontId="8" fillId="0" borderId="17" xfId="1" applyFont="1" applyBorder="1" applyAlignment="1"/>
    <xf numFmtId="44" fontId="7" fillId="0" borderId="4" xfId="1" applyFont="1" applyFill="1" applyBorder="1" applyAlignment="1">
      <alignment horizontal="left"/>
    </xf>
    <xf numFmtId="0" fontId="12" fillId="0" borderId="10" xfId="0" applyFont="1" applyBorder="1" applyAlignment="1"/>
    <xf numFmtId="0" fontId="7" fillId="4" borderId="9" xfId="0" applyFont="1" applyFill="1" applyBorder="1" applyAlignment="1"/>
    <xf numFmtId="10" fontId="6" fillId="4" borderId="9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3" fillId="0" borderId="0" xfId="0" applyFont="1">
      <alignment vertical="top" wrapText="1"/>
    </xf>
    <xf numFmtId="3" fontId="9" fillId="2" borderId="3" xfId="0" applyNumberFormat="1" applyFont="1" applyFill="1" applyBorder="1" applyAlignment="1">
      <alignment horizontal="center"/>
    </xf>
    <xf numFmtId="3" fontId="9" fillId="2" borderId="1" xfId="0" applyNumberFormat="1" applyFont="1" applyFill="1" applyBorder="1" applyAlignment="1">
      <alignment horizontal="center"/>
    </xf>
    <xf numFmtId="0" fontId="7" fillId="0" borderId="10" xfId="0" applyFont="1" applyFill="1" applyBorder="1" applyAlignment="1"/>
    <xf numFmtId="0" fontId="6" fillId="0" borderId="10" xfId="0" applyFont="1" applyFill="1" applyBorder="1" applyAlignment="1"/>
    <xf numFmtId="0" fontId="7" fillId="2" borderId="20" xfId="0" applyFont="1" applyFill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0" fontId="0" fillId="0" borderId="0" xfId="0" applyBorder="1" applyAlignment="1"/>
    <xf numFmtId="3" fontId="9" fillId="2" borderId="19" xfId="0" applyNumberFormat="1" applyFont="1" applyFill="1" applyBorder="1" applyAlignment="1">
      <alignment horizontal="center"/>
    </xf>
    <xf numFmtId="3" fontId="9" fillId="2" borderId="9" xfId="0" applyNumberFormat="1" applyFont="1" applyFill="1" applyBorder="1" applyAlignment="1">
      <alignment horizontal="center"/>
    </xf>
    <xf numFmtId="0" fontId="9" fillId="3" borderId="8" xfId="0" applyFont="1" applyFill="1" applyBorder="1" applyAlignment="1"/>
    <xf numFmtId="164" fontId="9" fillId="2" borderId="8" xfId="0" applyNumberFormat="1" applyFont="1" applyFill="1" applyBorder="1" applyAlignment="1">
      <alignment horizontal="center"/>
    </xf>
    <xf numFmtId="3" fontId="9" fillId="2" borderId="18" xfId="0" applyNumberFormat="1" applyFont="1" applyFill="1" applyBorder="1" applyAlignment="1">
      <alignment horizontal="center"/>
    </xf>
    <xf numFmtId="3" fontId="9" fillId="2" borderId="8" xfId="0" applyNumberFormat="1" applyFont="1" applyFill="1" applyBorder="1" applyAlignment="1">
      <alignment horizontal="center"/>
    </xf>
    <xf numFmtId="3" fontId="7" fillId="0" borderId="0" xfId="0" applyNumberFormat="1" applyFont="1" applyBorder="1" applyAlignment="1">
      <alignment horizontal="center"/>
    </xf>
    <xf numFmtId="0" fontId="9" fillId="3" borderId="4" xfId="0" applyFont="1" applyFill="1" applyBorder="1" applyAlignment="1">
      <alignment horizontal="left"/>
    </xf>
    <xf numFmtId="10" fontId="9" fillId="2" borderId="8" xfId="0" applyNumberFormat="1" applyFont="1" applyFill="1" applyBorder="1" applyAlignment="1">
      <alignment horizontal="center"/>
    </xf>
    <xf numFmtId="10" fontId="7" fillId="2" borderId="8" xfId="0" applyNumberFormat="1" applyFont="1" applyFill="1" applyBorder="1" applyAlignment="1">
      <alignment horizontal="center"/>
    </xf>
    <xf numFmtId="10" fontId="9" fillId="2" borderId="18" xfId="0" applyNumberFormat="1" applyFont="1" applyFill="1" applyBorder="1" applyAlignment="1">
      <alignment horizontal="center"/>
    </xf>
    <xf numFmtId="0" fontId="14" fillId="0" borderId="0" xfId="0" applyFont="1" applyFill="1" applyBorder="1" applyAlignment="1"/>
    <xf numFmtId="10" fontId="9" fillId="0" borderId="0" xfId="0" applyNumberFormat="1" applyFont="1" applyFill="1" applyBorder="1" applyAlignment="1">
      <alignment horizontal="center"/>
    </xf>
    <xf numFmtId="3" fontId="9" fillId="0" borderId="0" xfId="0" applyNumberFormat="1" applyFont="1" applyFill="1" applyBorder="1" applyAlignment="1">
      <alignment horizontal="center"/>
    </xf>
    <xf numFmtId="3" fontId="7" fillId="0" borderId="0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 vertical="top" wrapText="1"/>
    </xf>
    <xf numFmtId="0" fontId="4" fillId="0" borderId="0" xfId="0" applyFont="1">
      <alignment vertical="top" wrapText="1"/>
    </xf>
    <xf numFmtId="0" fontId="0" fillId="0" borderId="0" xfId="0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165" fontId="7" fillId="0" borderId="0" xfId="0" applyNumberFormat="1" applyFont="1" applyFill="1" applyBorder="1" applyAlignment="1">
      <alignment horizontal="center"/>
    </xf>
    <xf numFmtId="165" fontId="4" fillId="0" borderId="2" xfId="0" applyNumberFormat="1" applyFont="1" applyBorder="1" applyAlignment="1"/>
    <xf numFmtId="0" fontId="6" fillId="0" borderId="0" xfId="0" applyFont="1" applyFill="1" applyBorder="1" applyAlignment="1"/>
    <xf numFmtId="165" fontId="6" fillId="0" borderId="0" xfId="0" applyNumberFormat="1" applyFont="1" applyBorder="1" applyAlignment="1">
      <alignment horizontal="center"/>
    </xf>
    <xf numFmtId="0" fontId="7" fillId="0" borderId="0" xfId="0" applyFont="1" applyFill="1" applyBorder="1" applyAlignment="1"/>
    <xf numFmtId="0" fontId="7" fillId="0" borderId="9" xfId="0" applyFont="1" applyFill="1" applyBorder="1" applyAlignment="1"/>
    <xf numFmtId="10" fontId="6" fillId="0" borderId="9" xfId="0" applyNumberFormat="1" applyFont="1" applyFill="1" applyBorder="1" applyAlignment="1">
      <alignment horizontal="center"/>
    </xf>
    <xf numFmtId="3" fontId="7" fillId="0" borderId="1" xfId="0" applyNumberFormat="1" applyFont="1" applyFill="1" applyBorder="1" applyAlignment="1">
      <alignment horizontal="center"/>
    </xf>
    <xf numFmtId="3" fontId="7" fillId="4" borderId="19" xfId="0" applyNumberFormat="1" applyFont="1" applyFill="1" applyBorder="1" applyAlignment="1">
      <alignment horizontal="center"/>
    </xf>
    <xf numFmtId="0" fontId="14" fillId="2" borderId="8" xfId="0" applyFont="1" applyFill="1" applyBorder="1" applyAlignment="1"/>
    <xf numFmtId="3" fontId="9" fillId="2" borderId="11" xfId="0" applyNumberFormat="1" applyFont="1" applyFill="1" applyBorder="1" applyAlignment="1">
      <alignment horizontal="center"/>
    </xf>
    <xf numFmtId="165" fontId="13" fillId="0" borderId="0" xfId="0" applyNumberFormat="1" applyFont="1" applyAlignment="1">
      <alignment horizontal="center" vertical="top" wrapText="1"/>
    </xf>
    <xf numFmtId="0" fontId="8" fillId="0" borderId="3" xfId="0" applyFont="1" applyBorder="1" applyAlignment="1"/>
    <xf numFmtId="3" fontId="6" fillId="0" borderId="5" xfId="0" applyNumberFormat="1" applyFont="1" applyBorder="1" applyAlignment="1">
      <alignment horizontal="center"/>
    </xf>
    <xf numFmtId="10" fontId="7" fillId="4" borderId="30" xfId="0" applyNumberFormat="1" applyFont="1" applyFill="1" applyBorder="1" applyAlignment="1">
      <alignment horizontal="center"/>
    </xf>
    <xf numFmtId="10" fontId="7" fillId="4" borderId="31" xfId="0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 vertical="top" wrapText="1"/>
    </xf>
    <xf numFmtId="3" fontId="4" fillId="0" borderId="0" xfId="0" applyNumberFormat="1" applyFont="1">
      <alignment vertical="top" wrapText="1"/>
    </xf>
    <xf numFmtId="9" fontId="6" fillId="0" borderId="5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3" fontId="9" fillId="2" borderId="33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>
      <alignment horizontal="center"/>
    </xf>
    <xf numFmtId="10" fontId="9" fillId="2" borderId="33" xfId="0" applyNumberFormat="1" applyFont="1" applyFill="1" applyBorder="1" applyAlignment="1">
      <alignment horizontal="center"/>
    </xf>
    <xf numFmtId="10" fontId="12" fillId="0" borderId="2" xfId="0" applyNumberFormat="1" applyFont="1" applyBorder="1" applyAlignment="1">
      <alignment horizontal="center"/>
    </xf>
    <xf numFmtId="3" fontId="12" fillId="0" borderId="2" xfId="0" applyNumberFormat="1" applyFont="1" applyBorder="1" applyAlignment="1">
      <alignment horizontal="center"/>
    </xf>
    <xf numFmtId="10" fontId="7" fillId="4" borderId="32" xfId="0" applyNumberFormat="1" applyFont="1" applyFill="1" applyBorder="1" applyAlignment="1">
      <alignment horizontal="center"/>
    </xf>
    <xf numFmtId="0" fontId="5" fillId="0" borderId="11" xfId="0" applyFont="1" applyBorder="1">
      <alignment vertical="top" wrapText="1"/>
    </xf>
    <xf numFmtId="10" fontId="0" fillId="0" borderId="11" xfId="0" applyNumberFormat="1" applyBorder="1">
      <alignment vertical="top" wrapText="1"/>
    </xf>
    <xf numFmtId="0" fontId="0" fillId="0" borderId="11" xfId="0" applyBorder="1">
      <alignment vertical="top" wrapText="1"/>
    </xf>
    <xf numFmtId="0" fontId="0" fillId="0" borderId="11" xfId="0" applyBorder="1" applyAlignment="1">
      <alignment horizontal="center" vertical="top" wrapText="1"/>
    </xf>
    <xf numFmtId="0" fontId="0" fillId="0" borderId="2" xfId="0" applyBorder="1">
      <alignment vertical="top" wrapText="1"/>
    </xf>
    <xf numFmtId="0" fontId="4" fillId="0" borderId="2" xfId="0" applyFont="1" applyBorder="1">
      <alignment vertical="top" wrapText="1"/>
    </xf>
    <xf numFmtId="0" fontId="0" fillId="0" borderId="3" xfId="0" applyBorder="1">
      <alignment vertical="top" wrapText="1"/>
    </xf>
    <xf numFmtId="3" fontId="4" fillId="0" borderId="2" xfId="0" applyNumberFormat="1" applyFont="1" applyBorder="1">
      <alignment vertical="top" wrapText="1"/>
    </xf>
    <xf numFmtId="0" fontId="0" fillId="0" borderId="3" xfId="0" applyBorder="1" applyAlignment="1">
      <alignment horizontal="center" vertical="top" wrapText="1"/>
    </xf>
    <xf numFmtId="3" fontId="4" fillId="0" borderId="2" xfId="0" applyNumberFormat="1" applyFont="1" applyBorder="1" applyAlignment="1">
      <alignment horizontal="center" vertical="top" wrapText="1"/>
    </xf>
    <xf numFmtId="0" fontId="0" fillId="0" borderId="10" xfId="0" applyBorder="1">
      <alignment vertical="top" wrapText="1"/>
    </xf>
    <xf numFmtId="3" fontId="4" fillId="0" borderId="10" xfId="0" applyNumberFormat="1" applyFont="1" applyBorder="1" applyAlignment="1">
      <alignment horizontal="center" vertical="top" wrapText="1"/>
    </xf>
    <xf numFmtId="0" fontId="0" fillId="0" borderId="5" xfId="0" applyBorder="1">
      <alignment vertical="top" wrapText="1"/>
    </xf>
    <xf numFmtId="0" fontId="4" fillId="0" borderId="1" xfId="0" applyFont="1" applyBorder="1">
      <alignment vertical="top" wrapText="1"/>
    </xf>
    <xf numFmtId="0" fontId="4" fillId="2" borderId="1" xfId="0" applyFont="1" applyFill="1" applyBorder="1">
      <alignment vertical="top" wrapText="1"/>
    </xf>
    <xf numFmtId="0" fontId="0" fillId="2" borderId="1" xfId="0" applyFill="1" applyBorder="1">
      <alignment vertical="top" wrapText="1"/>
    </xf>
    <xf numFmtId="17" fontId="4" fillId="2" borderId="1" xfId="0" applyNumberFormat="1" applyFont="1" applyFill="1" applyBorder="1" applyAlignment="1">
      <alignment horizontal="center" vertical="top" wrapText="1"/>
    </xf>
    <xf numFmtId="0" fontId="4" fillId="2" borderId="3" xfId="0" applyFont="1" applyFill="1" applyBorder="1">
      <alignment vertical="top" wrapText="1"/>
    </xf>
    <xf numFmtId="3" fontId="4" fillId="2" borderId="3" xfId="0" applyNumberFormat="1" applyFont="1" applyFill="1" applyBorder="1" applyAlignment="1">
      <alignment horizontal="center" vertical="top" wrapText="1"/>
    </xf>
    <xf numFmtId="3" fontId="4" fillId="2" borderId="5" xfId="0" applyNumberFormat="1" applyFont="1" applyFill="1" applyBorder="1" applyAlignment="1">
      <alignment horizontal="center" vertical="top" wrapText="1"/>
    </xf>
    <xf numFmtId="0" fontId="4" fillId="0" borderId="3" xfId="0" applyFont="1" applyBorder="1">
      <alignment vertical="top" wrapText="1"/>
    </xf>
    <xf numFmtId="3" fontId="4" fillId="0" borderId="3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3" fontId="4" fillId="0" borderId="1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0" fontId="31" fillId="2" borderId="3" xfId="0" applyFont="1" applyFill="1" applyBorder="1">
      <alignment vertical="top" wrapText="1"/>
    </xf>
    <xf numFmtId="18" fontId="32" fillId="2" borderId="3" xfId="0" applyNumberFormat="1" applyFont="1" applyFill="1" applyBorder="1" applyAlignment="1">
      <alignment horizontal="center" vertical="top" wrapText="1"/>
    </xf>
    <xf numFmtId="3" fontId="31" fillId="2" borderId="3" xfId="0" applyNumberFormat="1" applyFont="1" applyFill="1" applyBorder="1" applyAlignment="1">
      <alignment horizontal="center" vertical="top" wrapText="1"/>
    </xf>
    <xf numFmtId="3" fontId="31" fillId="2" borderId="5" xfId="0" applyNumberFormat="1" applyFont="1" applyFill="1" applyBorder="1" applyAlignment="1">
      <alignment horizontal="center" vertical="top" wrapText="1"/>
    </xf>
    <xf numFmtId="10" fontId="7" fillId="4" borderId="30" xfId="0" applyNumberFormat="1" applyFont="1" applyFill="1" applyBorder="1" applyAlignment="1"/>
    <xf numFmtId="0" fontId="7" fillId="2" borderId="8" xfId="0" applyFont="1" applyFill="1" applyBorder="1" applyAlignment="1"/>
    <xf numFmtId="10" fontId="7" fillId="2" borderId="10" xfId="0" applyNumberFormat="1" applyFont="1" applyFill="1" applyBorder="1" applyAlignment="1">
      <alignment horizontal="center"/>
    </xf>
    <xf numFmtId="3" fontId="7" fillId="2" borderId="0" xfId="0" applyNumberFormat="1" applyFont="1" applyFill="1" applyBorder="1" applyAlignment="1">
      <alignment horizontal="center"/>
    </xf>
    <xf numFmtId="3" fontId="7" fillId="2" borderId="2" xfId="0" applyNumberFormat="1" applyFont="1" applyFill="1" applyBorder="1" applyAlignment="1">
      <alignment horizontal="center"/>
    </xf>
    <xf numFmtId="0" fontId="7" fillId="2" borderId="4" xfId="0" applyFont="1" applyFill="1" applyBorder="1" applyAlignment="1"/>
    <xf numFmtId="10" fontId="9" fillId="2" borderId="7" xfId="0" applyNumberFormat="1" applyFont="1" applyFill="1" applyBorder="1" applyAlignment="1"/>
    <xf numFmtId="10" fontId="9" fillId="2" borderId="7" xfId="0" applyNumberFormat="1" applyFont="1" applyFill="1" applyBorder="1" applyAlignment="1">
      <alignment horizontal="center"/>
    </xf>
    <xf numFmtId="3" fontId="9" fillId="2" borderId="34" xfId="0" applyNumberFormat="1" applyFont="1" applyFill="1" applyBorder="1" applyAlignment="1">
      <alignment horizontal="center"/>
    </xf>
    <xf numFmtId="3" fontId="9" fillId="2" borderId="12" xfId="0" applyNumberFormat="1" applyFont="1" applyFill="1" applyBorder="1" applyAlignment="1">
      <alignment horizontal="center"/>
    </xf>
    <xf numFmtId="3" fontId="9" fillId="2" borderId="7" xfId="0" applyNumberFormat="1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 vertical="top" wrapText="1"/>
    </xf>
    <xf numFmtId="44" fontId="9" fillId="2" borderId="4" xfId="1" applyFont="1" applyFill="1" applyBorder="1" applyAlignment="1">
      <alignment horizontal="left"/>
    </xf>
    <xf numFmtId="3" fontId="9" fillId="2" borderId="2" xfId="0" applyNumberFormat="1" applyFont="1" applyFill="1" applyBorder="1" applyAlignment="1">
      <alignment horizontal="center"/>
    </xf>
    <xf numFmtId="10" fontId="6" fillId="2" borderId="9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0" fontId="7" fillId="2" borderId="3" xfId="0" applyNumberFormat="1" applyFont="1" applyFill="1" applyBorder="1" applyAlignment="1">
      <alignment horizontal="center"/>
    </xf>
    <xf numFmtId="0" fontId="6" fillId="2" borderId="9" xfId="0" applyFont="1" applyFill="1" applyBorder="1" applyAlignment="1"/>
    <xf numFmtId="0" fontId="7" fillId="0" borderId="5" xfId="0" applyFont="1" applyFill="1" applyBorder="1" applyAlignment="1"/>
    <xf numFmtId="10" fontId="6" fillId="0" borderId="5" xfId="0" applyNumberFormat="1" applyFont="1" applyFill="1" applyBorder="1" applyAlignment="1">
      <alignment horizontal="center"/>
    </xf>
    <xf numFmtId="0" fontId="6" fillId="0" borderId="2" xfId="0" applyFont="1" applyFill="1" applyBorder="1" applyAlignment="1"/>
    <xf numFmtId="10" fontId="6" fillId="0" borderId="2" xfId="0" applyNumberFormat="1" applyFont="1" applyBorder="1" applyAlignment="1">
      <alignment horizontal="center"/>
    </xf>
    <xf numFmtId="3" fontId="7" fillId="2" borderId="19" xfId="0" applyNumberFormat="1" applyFont="1" applyFill="1" applyBorder="1" applyAlignment="1">
      <alignment horizontal="center"/>
    </xf>
    <xf numFmtId="10" fontId="7" fillId="2" borderId="4" xfId="0" applyNumberFormat="1" applyFont="1" applyFill="1" applyBorder="1" applyAlignment="1"/>
    <xf numFmtId="10" fontId="7" fillId="2" borderId="30" xfId="0" applyNumberFormat="1" applyFont="1" applyFill="1" applyBorder="1" applyAlignment="1">
      <alignment horizontal="center"/>
    </xf>
    <xf numFmtId="10" fontId="7" fillId="2" borderId="31" xfId="0" applyNumberFormat="1" applyFont="1" applyFill="1" applyBorder="1" applyAlignment="1">
      <alignment horizontal="center"/>
    </xf>
    <xf numFmtId="10" fontId="7" fillId="2" borderId="32" xfId="0" applyNumberFormat="1" applyFont="1" applyFill="1" applyBorder="1" applyAlignment="1">
      <alignment horizontal="center"/>
    </xf>
    <xf numFmtId="44" fontId="8" fillId="0" borderId="10" xfId="1" applyFont="1" applyBorder="1" applyAlignment="1"/>
    <xf numFmtId="0" fontId="7" fillId="0" borderId="2" xfId="0" applyFont="1" applyFill="1" applyBorder="1" applyAlignment="1"/>
    <xf numFmtId="10" fontId="6" fillId="0" borderId="2" xfId="0" applyNumberFormat="1" applyFont="1" applyFill="1" applyBorder="1" applyAlignment="1">
      <alignment horizontal="center"/>
    </xf>
    <xf numFmtId="3" fontId="7" fillId="0" borderId="2" xfId="0" applyNumberFormat="1" applyFont="1" applyFill="1" applyBorder="1" applyAlignment="1">
      <alignment horizontal="center"/>
    </xf>
    <xf numFmtId="3" fontId="9" fillId="0" borderId="11" xfId="0" applyNumberFormat="1" applyFont="1" applyFill="1" applyBorder="1" applyAlignment="1">
      <alignment horizontal="center"/>
    </xf>
    <xf numFmtId="3" fontId="9" fillId="0" borderId="3" xfId="0" applyNumberFormat="1" applyFont="1" applyFill="1" applyBorder="1" applyAlignment="1">
      <alignment horizontal="center"/>
    </xf>
    <xf numFmtId="3" fontId="9" fillId="0" borderId="5" xfId="0" applyNumberFormat="1" applyFont="1" applyFill="1" applyBorder="1" applyAlignment="1">
      <alignment horizontal="center"/>
    </xf>
    <xf numFmtId="0" fontId="7" fillId="3" borderId="8" xfId="0" applyFont="1" applyFill="1" applyBorder="1" applyAlignment="1"/>
    <xf numFmtId="164" fontId="7" fillId="2" borderId="8" xfId="0" applyNumberFormat="1" applyFont="1" applyFill="1" applyBorder="1" applyAlignment="1">
      <alignment horizontal="center"/>
    </xf>
    <xf numFmtId="3" fontId="7" fillId="2" borderId="18" xfId="0" applyNumberFormat="1" applyFont="1" applyFill="1" applyBorder="1" applyAlignment="1">
      <alignment horizont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2" xfId="44" xr:uid="{4D9FA365-08E2-4B04-9D81-789F458799CB}"/>
    <cellStyle name="Currency" xfId="1" builtinId="4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 xr:uid="{C63354D4-BFFE-4DE1-B278-1147B142BB2E}"/>
    <cellStyle name="Note 2" xfId="43" xr:uid="{AFB59284-546A-4780-B4D5-A9874E7420DA}"/>
    <cellStyle name="Output" xfId="11" builtinId="21" customBuiltin="1"/>
    <cellStyle name="Percent 2" xfId="45" xr:uid="{A6C23CB2-E440-4DEE-93B5-93E7490965EF}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FC63-BBBA-4963-8975-3DD85926C274}">
  <sheetPr>
    <pageSetUpPr fitToPage="1"/>
  </sheetPr>
  <dimension ref="A1:R222"/>
  <sheetViews>
    <sheetView tabSelected="1" topLeftCell="B81" workbookViewId="0">
      <selection activeCell="J8" sqref="J8:O8"/>
    </sheetView>
  </sheetViews>
  <sheetFormatPr defaultRowHeight="12.75"/>
  <cols>
    <col min="1" max="1" width="2.85546875" customWidth="1"/>
    <col min="2" max="2" width="44.5703125" customWidth="1"/>
    <col min="3" max="3" width="13.28515625" customWidth="1"/>
    <col min="4" max="4" width="15.28515625" customWidth="1"/>
    <col min="5" max="5" width="15.42578125" customWidth="1"/>
    <col min="6" max="6" width="15.140625" customWidth="1"/>
    <col min="7" max="7" width="15.42578125" customWidth="1"/>
    <col min="8" max="8" width="15.28515625" customWidth="1"/>
    <col min="9" max="9" width="15.7109375" customWidth="1"/>
    <col min="10" max="10" width="15.28515625" customWidth="1"/>
    <col min="11" max="11" width="16" customWidth="1"/>
    <col min="12" max="12" width="15.5703125" customWidth="1"/>
    <col min="13" max="13" width="16" customWidth="1"/>
    <col min="14" max="14" width="15.7109375" customWidth="1"/>
    <col min="15" max="15" width="15.28515625" customWidth="1"/>
    <col min="16" max="16" width="15.42578125" customWidth="1"/>
    <col min="17" max="17" width="2.5703125" customWidth="1"/>
  </cols>
  <sheetData>
    <row r="1" spans="1:18" ht="15.75">
      <c r="A1" s="57"/>
      <c r="B1" s="69" t="s">
        <v>54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8" ht="15.75">
      <c r="A2" s="5"/>
      <c r="B2" s="6" t="s">
        <v>63</v>
      </c>
      <c r="C2" s="55"/>
      <c r="D2" s="11"/>
      <c r="E2" s="11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3"/>
      <c r="R2" s="1"/>
    </row>
    <row r="3" spans="1:18" ht="15.75">
      <c r="A3" s="5"/>
      <c r="B3" s="6" t="s">
        <v>68</v>
      </c>
      <c r="C3" s="55"/>
      <c r="D3" s="11"/>
      <c r="E3" s="11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3"/>
      <c r="R3" s="1"/>
    </row>
    <row r="4" spans="1:18" ht="15.75">
      <c r="A4" s="5"/>
      <c r="B4" s="7" t="s">
        <v>53</v>
      </c>
      <c r="C4" s="8" t="s">
        <v>10</v>
      </c>
      <c r="D4" s="9" t="s">
        <v>11</v>
      </c>
      <c r="E4" s="9" t="s">
        <v>0</v>
      </c>
      <c r="F4" s="9" t="s">
        <v>1</v>
      </c>
      <c r="G4" s="9" t="s">
        <v>2</v>
      </c>
      <c r="H4" s="9" t="s">
        <v>3</v>
      </c>
      <c r="I4" s="9" t="s">
        <v>4</v>
      </c>
      <c r="J4" s="9" t="s">
        <v>5</v>
      </c>
      <c r="K4" s="9" t="s">
        <v>6</v>
      </c>
      <c r="L4" s="9" t="s">
        <v>7</v>
      </c>
      <c r="M4" s="9" t="s">
        <v>8</v>
      </c>
      <c r="N4" s="9" t="s">
        <v>9</v>
      </c>
      <c r="O4" s="9" t="s">
        <v>12</v>
      </c>
      <c r="P4" s="9" t="s">
        <v>66</v>
      </c>
      <c r="Q4" s="4"/>
      <c r="R4" s="1"/>
    </row>
    <row r="5" spans="1:18" ht="15.75">
      <c r="A5" s="5"/>
      <c r="B5" s="7"/>
      <c r="C5" s="74"/>
      <c r="D5" s="58">
        <v>31</v>
      </c>
      <c r="E5" s="117">
        <v>29</v>
      </c>
      <c r="F5" s="117">
        <v>31</v>
      </c>
      <c r="G5" s="117">
        <v>30</v>
      </c>
      <c r="H5" s="117">
        <v>31</v>
      </c>
      <c r="I5" s="117">
        <v>30</v>
      </c>
      <c r="J5" s="117">
        <v>31</v>
      </c>
      <c r="K5" s="117">
        <v>31</v>
      </c>
      <c r="L5" s="117">
        <v>30</v>
      </c>
      <c r="M5" s="117">
        <v>31</v>
      </c>
      <c r="N5" s="117">
        <v>30</v>
      </c>
      <c r="O5" s="117">
        <v>31</v>
      </c>
      <c r="P5" s="53">
        <f>SUM(D5:O5)</f>
        <v>366</v>
      </c>
      <c r="Q5" s="4"/>
      <c r="R5" s="1"/>
    </row>
    <row r="6" spans="1:18" ht="15.75">
      <c r="A6" s="5"/>
      <c r="B6" s="64" t="s">
        <v>38</v>
      </c>
      <c r="C6" s="10"/>
      <c r="D6" s="11"/>
      <c r="E6" s="14"/>
      <c r="F6" s="14"/>
      <c r="G6" s="14"/>
      <c r="H6" s="14"/>
      <c r="I6" s="14"/>
      <c r="J6" s="14"/>
      <c r="K6" s="14"/>
      <c r="L6" s="52"/>
      <c r="M6" s="50"/>
      <c r="N6" s="54"/>
      <c r="O6" s="54"/>
      <c r="P6" s="54"/>
      <c r="Q6" s="4"/>
      <c r="R6" s="1"/>
    </row>
    <row r="7" spans="1:18" ht="15.75">
      <c r="A7" s="5"/>
      <c r="B7" s="59" t="s">
        <v>13</v>
      </c>
      <c r="C7" s="13"/>
      <c r="D7" s="11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52"/>
      <c r="Q7" s="4"/>
      <c r="R7" s="1"/>
    </row>
    <row r="8" spans="1:18" ht="15.75">
      <c r="A8" s="5"/>
      <c r="B8" s="60" t="s">
        <v>50</v>
      </c>
      <c r="C8" s="13"/>
      <c r="D8" s="11">
        <v>60</v>
      </c>
      <c r="E8" s="14">
        <v>56</v>
      </c>
      <c r="F8" s="14">
        <f>E8+2</f>
        <v>58</v>
      </c>
      <c r="G8" s="14">
        <f>F8+1</f>
        <v>59</v>
      </c>
      <c r="H8" s="14">
        <f>G8+2</f>
        <v>61</v>
      </c>
      <c r="I8" s="14">
        <f>H8+1</f>
        <v>62</v>
      </c>
      <c r="J8" s="14">
        <f t="shared" ref="J8:O8" si="0">I8+1</f>
        <v>63</v>
      </c>
      <c r="K8" s="14">
        <f t="shared" si="0"/>
        <v>64</v>
      </c>
      <c r="L8" s="14">
        <f t="shared" si="0"/>
        <v>65</v>
      </c>
      <c r="M8" s="14">
        <f t="shared" si="0"/>
        <v>66</v>
      </c>
      <c r="N8" s="14">
        <f t="shared" si="0"/>
        <v>67</v>
      </c>
      <c r="O8" s="14">
        <f t="shared" si="0"/>
        <v>68</v>
      </c>
      <c r="P8" s="14">
        <f>SUM(D8:O8)/12</f>
        <v>62.416666666666664</v>
      </c>
      <c r="Q8" s="4"/>
      <c r="R8" s="1"/>
    </row>
    <row r="9" spans="1:18" ht="15.75">
      <c r="A9" s="5"/>
      <c r="B9" s="60" t="s">
        <v>51</v>
      </c>
      <c r="C9" s="13"/>
      <c r="D9" s="11">
        <f>D5*D8</f>
        <v>1860</v>
      </c>
      <c r="E9" s="14">
        <f t="shared" ref="E9:O9" si="1">E5*E8</f>
        <v>1624</v>
      </c>
      <c r="F9" s="14">
        <f t="shared" si="1"/>
        <v>1798</v>
      </c>
      <c r="G9" s="14">
        <f t="shared" si="1"/>
        <v>1770</v>
      </c>
      <c r="H9" s="14">
        <f t="shared" si="1"/>
        <v>1891</v>
      </c>
      <c r="I9" s="14">
        <f t="shared" si="1"/>
        <v>1860</v>
      </c>
      <c r="J9" s="14">
        <f t="shared" si="1"/>
        <v>1953</v>
      </c>
      <c r="K9" s="14">
        <f t="shared" si="1"/>
        <v>1984</v>
      </c>
      <c r="L9" s="14">
        <f t="shared" si="1"/>
        <v>1950</v>
      </c>
      <c r="M9" s="14">
        <f t="shared" si="1"/>
        <v>2046</v>
      </c>
      <c r="N9" s="14">
        <f t="shared" si="1"/>
        <v>2010</v>
      </c>
      <c r="O9" s="14">
        <f t="shared" si="1"/>
        <v>2108</v>
      </c>
      <c r="P9" s="14">
        <f>SUM(D9:O9)</f>
        <v>22854</v>
      </c>
      <c r="Q9" s="4"/>
      <c r="R9" s="1"/>
    </row>
    <row r="10" spans="1:18" ht="15.75">
      <c r="A10" s="5"/>
      <c r="B10" s="60" t="s">
        <v>56</v>
      </c>
      <c r="C10" s="13"/>
      <c r="D10" s="11">
        <v>200000</v>
      </c>
      <c r="E10" s="14">
        <f>D10+1000</f>
        <v>201000</v>
      </c>
      <c r="F10" s="14">
        <f t="shared" ref="F10:O10" si="2">E10+1000</f>
        <v>202000</v>
      </c>
      <c r="G10" s="14">
        <f t="shared" si="2"/>
        <v>203000</v>
      </c>
      <c r="H10" s="14">
        <f t="shared" si="2"/>
        <v>204000</v>
      </c>
      <c r="I10" s="14">
        <f t="shared" si="2"/>
        <v>205000</v>
      </c>
      <c r="J10" s="14">
        <f t="shared" si="2"/>
        <v>206000</v>
      </c>
      <c r="K10" s="14">
        <f t="shared" si="2"/>
        <v>207000</v>
      </c>
      <c r="L10" s="14">
        <f t="shared" si="2"/>
        <v>208000</v>
      </c>
      <c r="M10" s="14">
        <f t="shared" si="2"/>
        <v>209000</v>
      </c>
      <c r="N10" s="14">
        <f t="shared" si="2"/>
        <v>210000</v>
      </c>
      <c r="O10" s="14">
        <f t="shared" si="2"/>
        <v>211000</v>
      </c>
      <c r="P10" s="14">
        <f>SUM(D10:O10)/12</f>
        <v>205500</v>
      </c>
      <c r="Q10" s="4"/>
      <c r="R10" s="1"/>
    </row>
    <row r="11" spans="1:18" ht="15.75">
      <c r="A11" s="5"/>
      <c r="B11" s="60" t="s">
        <v>55</v>
      </c>
      <c r="C11" s="13"/>
      <c r="D11" s="11">
        <f t="shared" ref="D11:P11" si="3">D27/D9</f>
        <v>247074.19354838709</v>
      </c>
      <c r="E11" s="14">
        <f t="shared" si="3"/>
        <v>254093.74137931035</v>
      </c>
      <c r="F11" s="14">
        <f t="shared" si="3"/>
        <v>253290.01334816462</v>
      </c>
      <c r="G11" s="14">
        <f t="shared" si="3"/>
        <v>256444.11864406778</v>
      </c>
      <c r="H11" s="14">
        <f t="shared" si="3"/>
        <v>256709.14648334213</v>
      </c>
      <c r="I11" s="14">
        <f t="shared" si="3"/>
        <v>259837.74193548388</v>
      </c>
      <c r="J11" s="14">
        <f t="shared" si="3"/>
        <v>260578.23963133642</v>
      </c>
      <c r="K11" s="14">
        <f t="shared" si="3"/>
        <v>262473.15120967739</v>
      </c>
      <c r="L11" s="14">
        <f t="shared" si="3"/>
        <v>265604.30769230769</v>
      </c>
      <c r="M11" s="14">
        <f t="shared" si="3"/>
        <v>266189.70967741933</v>
      </c>
      <c r="N11" s="14">
        <f t="shared" si="3"/>
        <v>269324.32835820894</v>
      </c>
      <c r="O11" s="14">
        <f t="shared" si="3"/>
        <v>269815.76470588235</v>
      </c>
      <c r="P11" s="11">
        <f t="shared" si="3"/>
        <v>260461.41060645838</v>
      </c>
      <c r="Q11" s="4"/>
      <c r="R11" s="1"/>
    </row>
    <row r="12" spans="1:18" ht="15.75">
      <c r="A12" s="5"/>
      <c r="B12" s="60" t="s">
        <v>48</v>
      </c>
      <c r="C12" s="13"/>
      <c r="D12" s="11">
        <f t="shared" ref="D12:O12" si="4">D9*D10*0.6</f>
        <v>223200000</v>
      </c>
      <c r="E12" s="14">
        <f t="shared" si="4"/>
        <v>195854400</v>
      </c>
      <c r="F12" s="14">
        <f t="shared" si="4"/>
        <v>217917600</v>
      </c>
      <c r="G12" s="14">
        <f t="shared" si="4"/>
        <v>215586000</v>
      </c>
      <c r="H12" s="14">
        <f t="shared" si="4"/>
        <v>231458400</v>
      </c>
      <c r="I12" s="14">
        <f t="shared" si="4"/>
        <v>228780000</v>
      </c>
      <c r="J12" s="14">
        <f t="shared" si="4"/>
        <v>241390800</v>
      </c>
      <c r="K12" s="14">
        <f t="shared" si="4"/>
        <v>246412800</v>
      </c>
      <c r="L12" s="14">
        <f t="shared" si="4"/>
        <v>243360000</v>
      </c>
      <c r="M12" s="14">
        <f t="shared" si="4"/>
        <v>256568400</v>
      </c>
      <c r="N12" s="14">
        <f t="shared" si="4"/>
        <v>253260000</v>
      </c>
      <c r="O12" s="14">
        <f t="shared" si="4"/>
        <v>266872800</v>
      </c>
      <c r="P12" s="14">
        <f>SUM(D12:O12)</f>
        <v>2820661200</v>
      </c>
      <c r="Q12" s="4"/>
      <c r="R12" s="1"/>
    </row>
    <row r="13" spans="1:18" ht="15.75">
      <c r="A13" s="5"/>
      <c r="B13" s="60" t="s">
        <v>49</v>
      </c>
      <c r="C13" s="13"/>
      <c r="D13" s="11">
        <f t="shared" ref="D13:O13" si="5">D9*D10*0.4</f>
        <v>148800000</v>
      </c>
      <c r="E13" s="14">
        <f t="shared" si="5"/>
        <v>130569600</v>
      </c>
      <c r="F13" s="14">
        <f t="shared" si="5"/>
        <v>145278400</v>
      </c>
      <c r="G13" s="14">
        <f t="shared" si="5"/>
        <v>143724000</v>
      </c>
      <c r="H13" s="14">
        <f t="shared" si="5"/>
        <v>154305600</v>
      </c>
      <c r="I13" s="14">
        <f t="shared" si="5"/>
        <v>152520000</v>
      </c>
      <c r="J13" s="14">
        <f t="shared" si="5"/>
        <v>160927200</v>
      </c>
      <c r="K13" s="14">
        <f t="shared" si="5"/>
        <v>164275200</v>
      </c>
      <c r="L13" s="14">
        <f t="shared" si="5"/>
        <v>162240000</v>
      </c>
      <c r="M13" s="14">
        <f t="shared" si="5"/>
        <v>171045600</v>
      </c>
      <c r="N13" s="14">
        <f t="shared" si="5"/>
        <v>168840000</v>
      </c>
      <c r="O13" s="14">
        <f t="shared" si="5"/>
        <v>177915200</v>
      </c>
      <c r="P13" s="14">
        <f>SUM(D13:O13)</f>
        <v>1880440800</v>
      </c>
      <c r="Q13" s="4"/>
      <c r="R13" s="1"/>
    </row>
    <row r="14" spans="1:18" ht="15.75">
      <c r="A14" s="5"/>
      <c r="B14" s="60" t="s">
        <v>89</v>
      </c>
      <c r="C14" s="11"/>
      <c r="D14" s="14">
        <v>50000000</v>
      </c>
      <c r="E14" s="14">
        <f>D14+2500000</f>
        <v>52500000</v>
      </c>
      <c r="F14" s="14">
        <f t="shared" ref="F14:O14" si="6">E14+2500000</f>
        <v>55000000</v>
      </c>
      <c r="G14" s="14">
        <f t="shared" si="6"/>
        <v>57500000</v>
      </c>
      <c r="H14" s="14">
        <f t="shared" si="6"/>
        <v>60000000</v>
      </c>
      <c r="I14" s="14">
        <f t="shared" si="6"/>
        <v>62500000</v>
      </c>
      <c r="J14" s="14">
        <f t="shared" si="6"/>
        <v>65000000</v>
      </c>
      <c r="K14" s="14">
        <f t="shared" si="6"/>
        <v>67500000</v>
      </c>
      <c r="L14" s="14">
        <f t="shared" si="6"/>
        <v>70000000</v>
      </c>
      <c r="M14" s="14">
        <f t="shared" si="6"/>
        <v>72500000</v>
      </c>
      <c r="N14" s="14">
        <f t="shared" si="6"/>
        <v>75000000</v>
      </c>
      <c r="O14" s="14">
        <f t="shared" si="6"/>
        <v>77500000</v>
      </c>
      <c r="P14" s="14">
        <f>SUM(D14:O14)</f>
        <v>765000000</v>
      </c>
      <c r="Q14" s="4"/>
      <c r="R14" s="1"/>
    </row>
    <row r="15" spans="1:18" ht="15.75">
      <c r="A15" s="5"/>
      <c r="B15" s="108" t="s">
        <v>86</v>
      </c>
      <c r="C15" s="114">
        <v>0.1</v>
      </c>
      <c r="D15" s="115">
        <f>-(D12+D13+D14)*$C$15</f>
        <v>-42200000</v>
      </c>
      <c r="E15" s="115">
        <f t="shared" ref="E15:O15" si="7">-(E12+E13+E14)*$C$15</f>
        <v>-37892400</v>
      </c>
      <c r="F15" s="115">
        <f t="shared" si="7"/>
        <v>-41819600</v>
      </c>
      <c r="G15" s="115">
        <f t="shared" si="7"/>
        <v>-41681000</v>
      </c>
      <c r="H15" s="115">
        <f t="shared" si="7"/>
        <v>-44576400</v>
      </c>
      <c r="I15" s="115">
        <f t="shared" si="7"/>
        <v>-44380000</v>
      </c>
      <c r="J15" s="115">
        <f t="shared" si="7"/>
        <v>-46731800</v>
      </c>
      <c r="K15" s="115">
        <f t="shared" si="7"/>
        <v>-47818800</v>
      </c>
      <c r="L15" s="115">
        <f t="shared" si="7"/>
        <v>-47560000</v>
      </c>
      <c r="M15" s="115">
        <f t="shared" si="7"/>
        <v>-50011400</v>
      </c>
      <c r="N15" s="115">
        <f t="shared" si="7"/>
        <v>-49710000</v>
      </c>
      <c r="O15" s="115">
        <f t="shared" si="7"/>
        <v>-52228800</v>
      </c>
      <c r="P15" s="109">
        <f>SUM(D15:O15)</f>
        <v>-546610200</v>
      </c>
      <c r="Q15" s="4"/>
      <c r="R15" s="1"/>
    </row>
    <row r="16" spans="1:18" ht="16.5" thickBot="1">
      <c r="A16" s="5"/>
      <c r="B16" s="18" t="s">
        <v>14</v>
      </c>
      <c r="C16" s="16">
        <v>1</v>
      </c>
      <c r="D16" s="17">
        <f>D12+D13+D14+D15</f>
        <v>379800000</v>
      </c>
      <c r="E16" s="17">
        <f t="shared" ref="E16:O16" si="8">E12+E13+E14+E15</f>
        <v>341031600</v>
      </c>
      <c r="F16" s="17">
        <f t="shared" si="8"/>
        <v>376376400</v>
      </c>
      <c r="G16" s="17">
        <f t="shared" si="8"/>
        <v>375129000</v>
      </c>
      <c r="H16" s="17">
        <f t="shared" si="8"/>
        <v>401187600</v>
      </c>
      <c r="I16" s="17">
        <f t="shared" si="8"/>
        <v>399420000</v>
      </c>
      <c r="J16" s="17">
        <f t="shared" si="8"/>
        <v>420586200</v>
      </c>
      <c r="K16" s="17">
        <f t="shared" si="8"/>
        <v>430369200</v>
      </c>
      <c r="L16" s="17">
        <f t="shared" si="8"/>
        <v>428040000</v>
      </c>
      <c r="M16" s="17">
        <f t="shared" si="8"/>
        <v>450102600</v>
      </c>
      <c r="N16" s="17">
        <f t="shared" si="8"/>
        <v>447390000</v>
      </c>
      <c r="O16" s="17">
        <f t="shared" si="8"/>
        <v>470059200</v>
      </c>
      <c r="P16" s="17">
        <f>SUM(D16:O16)</f>
        <v>4919491800</v>
      </c>
      <c r="Q16" s="4"/>
      <c r="R16" s="1"/>
    </row>
    <row r="17" spans="1:18" ht="16.5" thickTop="1">
      <c r="A17" s="5"/>
      <c r="B17" s="15" t="s">
        <v>39</v>
      </c>
      <c r="C17" s="16"/>
      <c r="D17" s="17">
        <f>D16</f>
        <v>379800000</v>
      </c>
      <c r="E17" s="17">
        <f t="shared" ref="E17:O17" si="9">D17+E16</f>
        <v>720831600</v>
      </c>
      <c r="F17" s="17">
        <f t="shared" si="9"/>
        <v>1097208000</v>
      </c>
      <c r="G17" s="17">
        <f t="shared" si="9"/>
        <v>1472337000</v>
      </c>
      <c r="H17" s="17">
        <f t="shared" si="9"/>
        <v>1873524600</v>
      </c>
      <c r="I17" s="17">
        <f t="shared" si="9"/>
        <v>2272944600</v>
      </c>
      <c r="J17" s="17">
        <f t="shared" si="9"/>
        <v>2693530800</v>
      </c>
      <c r="K17" s="17">
        <f t="shared" si="9"/>
        <v>3123900000</v>
      </c>
      <c r="L17" s="17">
        <f t="shared" si="9"/>
        <v>3551940000</v>
      </c>
      <c r="M17" s="17">
        <f t="shared" si="9"/>
        <v>4002042600</v>
      </c>
      <c r="N17" s="17">
        <f t="shared" si="9"/>
        <v>4449432600</v>
      </c>
      <c r="O17" s="17">
        <f t="shared" si="9"/>
        <v>4919491800</v>
      </c>
      <c r="P17" s="17"/>
      <c r="Q17" s="4"/>
      <c r="R17" s="1"/>
    </row>
    <row r="18" spans="1:18" ht="15.75">
      <c r="A18" s="5"/>
      <c r="B18" s="20"/>
      <c r="C18" s="21"/>
      <c r="D18" s="70">
        <v>378902951</v>
      </c>
      <c r="E18" s="70">
        <v>298821242</v>
      </c>
      <c r="F18" s="70">
        <v>313588816</v>
      </c>
      <c r="G18" s="70">
        <v>358372544</v>
      </c>
      <c r="H18" s="70">
        <v>388932377</v>
      </c>
      <c r="I18" s="70"/>
      <c r="J18" s="70"/>
      <c r="K18" s="70"/>
      <c r="L18" s="70"/>
      <c r="M18" s="70"/>
      <c r="N18" s="70"/>
      <c r="O18" s="70"/>
      <c r="P18" s="70"/>
      <c r="Q18" s="4"/>
      <c r="R18" s="1"/>
    </row>
    <row r="19" spans="1:18" ht="15.75">
      <c r="A19" s="5"/>
      <c r="B19" s="20"/>
      <c r="C19" s="21"/>
      <c r="D19" s="70">
        <f>C19+D18</f>
        <v>378902951</v>
      </c>
      <c r="E19" s="70">
        <f t="shared" ref="E19:H19" si="10">D19+E18</f>
        <v>677724193</v>
      </c>
      <c r="F19" s="70">
        <f t="shared" si="10"/>
        <v>991313009</v>
      </c>
      <c r="G19" s="70">
        <f t="shared" si="10"/>
        <v>1349685553</v>
      </c>
      <c r="H19" s="70">
        <f t="shared" si="10"/>
        <v>1738617930</v>
      </c>
      <c r="I19" s="70"/>
      <c r="J19" s="70"/>
      <c r="K19" s="70"/>
      <c r="L19" s="70"/>
      <c r="M19" s="70"/>
      <c r="N19" s="70"/>
      <c r="O19" s="70"/>
      <c r="P19" s="70"/>
      <c r="Q19" s="4"/>
      <c r="R19" s="1"/>
    </row>
    <row r="20" spans="1:18" ht="15.75">
      <c r="A20" s="5"/>
      <c r="B20" s="18" t="s">
        <v>83</v>
      </c>
      <c r="C20" s="19"/>
      <c r="D20" s="17">
        <f t="shared" ref="D20:O20" si="11">D27/D5</f>
        <v>14824451.612903226</v>
      </c>
      <c r="E20" s="17">
        <f t="shared" si="11"/>
        <v>14229249.517241379</v>
      </c>
      <c r="F20" s="17">
        <f t="shared" si="11"/>
        <v>14690820.774193548</v>
      </c>
      <c r="G20" s="17">
        <f t="shared" si="11"/>
        <v>15130203</v>
      </c>
      <c r="H20" s="17">
        <f t="shared" si="11"/>
        <v>15659257.935483871</v>
      </c>
      <c r="I20" s="17">
        <f t="shared" si="11"/>
        <v>16109940</v>
      </c>
      <c r="J20" s="17">
        <f t="shared" si="11"/>
        <v>16416429.096774194</v>
      </c>
      <c r="K20" s="17">
        <f t="shared" si="11"/>
        <v>16798281.677419353</v>
      </c>
      <c r="L20" s="17">
        <f t="shared" si="11"/>
        <v>17264280</v>
      </c>
      <c r="M20" s="17">
        <f t="shared" si="11"/>
        <v>17568520.838709679</v>
      </c>
      <c r="N20" s="17">
        <f t="shared" si="11"/>
        <v>18044730</v>
      </c>
      <c r="O20" s="17">
        <f t="shared" si="11"/>
        <v>18347472</v>
      </c>
      <c r="P20" s="17">
        <f>SUM(D20:O20)/12</f>
        <v>16256969.704393772</v>
      </c>
      <c r="Q20" s="4"/>
      <c r="R20" s="1"/>
    </row>
    <row r="21" spans="1:18" ht="15.75">
      <c r="A21" s="5"/>
      <c r="B21" s="20"/>
      <c r="C21" s="19"/>
      <c r="D21" s="70">
        <f>D29/D5</f>
        <v>14381561.483870968</v>
      </c>
      <c r="E21" s="70">
        <f>E29/E5</f>
        <v>12123345.310344828</v>
      </c>
      <c r="F21" s="70">
        <f>F29/F5</f>
        <v>12212363.64516129</v>
      </c>
      <c r="G21" s="70">
        <f>G29/G5</f>
        <v>14043255.266666668</v>
      </c>
      <c r="H21" s="70">
        <f>H29/H5</f>
        <v>14762830.35483871</v>
      </c>
      <c r="I21" s="70"/>
      <c r="J21" s="70"/>
      <c r="K21" s="70"/>
      <c r="L21" s="70"/>
      <c r="M21" s="70"/>
      <c r="N21" s="70"/>
      <c r="O21" s="70"/>
      <c r="P21" s="70"/>
      <c r="Q21" s="4"/>
      <c r="R21" s="1"/>
    </row>
    <row r="22" spans="1:18" ht="15.75">
      <c r="A22" s="5"/>
      <c r="B22" s="18" t="s">
        <v>15</v>
      </c>
      <c r="C22" s="19"/>
      <c r="D22" s="17">
        <f t="shared" ref="D22:O22" si="12">D9</f>
        <v>1860</v>
      </c>
      <c r="E22" s="17">
        <f t="shared" si="12"/>
        <v>1624</v>
      </c>
      <c r="F22" s="17">
        <f t="shared" si="12"/>
        <v>1798</v>
      </c>
      <c r="G22" s="17">
        <f t="shared" si="12"/>
        <v>1770</v>
      </c>
      <c r="H22" s="17">
        <f t="shared" si="12"/>
        <v>1891</v>
      </c>
      <c r="I22" s="17">
        <f t="shared" si="12"/>
        <v>1860</v>
      </c>
      <c r="J22" s="17">
        <f t="shared" si="12"/>
        <v>1953</v>
      </c>
      <c r="K22" s="17">
        <f t="shared" si="12"/>
        <v>1984</v>
      </c>
      <c r="L22" s="17">
        <f t="shared" si="12"/>
        <v>1950</v>
      </c>
      <c r="M22" s="17">
        <f t="shared" si="12"/>
        <v>2046</v>
      </c>
      <c r="N22" s="17">
        <f t="shared" si="12"/>
        <v>2010</v>
      </c>
      <c r="O22" s="17">
        <f t="shared" si="12"/>
        <v>2108</v>
      </c>
      <c r="P22" s="17">
        <f>SUM(D22:O22)</f>
        <v>22854</v>
      </c>
      <c r="Q22" s="4"/>
      <c r="R22" s="1"/>
    </row>
    <row r="23" spans="1:18" ht="15.75">
      <c r="A23" s="5"/>
      <c r="B23" s="20"/>
      <c r="C23" s="22"/>
      <c r="D23" s="70">
        <v>2155</v>
      </c>
      <c r="E23" s="70">
        <v>1759</v>
      </c>
      <c r="F23" s="70">
        <v>1703</v>
      </c>
      <c r="G23" s="70">
        <v>2120</v>
      </c>
      <c r="H23" s="70">
        <v>1996</v>
      </c>
      <c r="I23" s="70"/>
      <c r="J23" s="70"/>
      <c r="K23" s="70"/>
      <c r="L23" s="70"/>
      <c r="M23" s="70"/>
      <c r="N23" s="70"/>
      <c r="O23" s="70"/>
      <c r="P23" s="71"/>
      <c r="Q23" s="4"/>
      <c r="R23" s="1"/>
    </row>
    <row r="24" spans="1:18" ht="15.75">
      <c r="A24" s="5"/>
      <c r="B24" s="18" t="s">
        <v>57</v>
      </c>
      <c r="C24" s="19"/>
      <c r="D24" s="106">
        <f>D29/D23</f>
        <v>206880.93085846867</v>
      </c>
      <c r="E24" s="70">
        <f>E29/E23</f>
        <v>199873.23138146673</v>
      </c>
      <c r="F24" s="70">
        <f>F29/F23</f>
        <v>222303.74221961244</v>
      </c>
      <c r="G24" s="70">
        <f>G29/G23</f>
        <v>198725.31037735849</v>
      </c>
      <c r="H24" s="70">
        <f>H29/H23</f>
        <v>229282.43537074147</v>
      </c>
      <c r="I24" s="17"/>
      <c r="J24" s="17"/>
      <c r="K24" s="17"/>
      <c r="L24" s="17"/>
      <c r="M24" s="17"/>
      <c r="N24" s="17"/>
      <c r="O24" s="17"/>
      <c r="P24" s="24">
        <f>SUM(D24:O24)/12</f>
        <v>88088.804183970657</v>
      </c>
      <c r="Q24" s="4"/>
      <c r="R24" s="1"/>
    </row>
    <row r="25" spans="1:18" ht="15.75">
      <c r="A25" s="5"/>
      <c r="B25" s="18" t="s">
        <v>16</v>
      </c>
      <c r="C25" s="16">
        <v>0.21</v>
      </c>
      <c r="D25" s="23">
        <f t="shared" ref="D25:P25" si="13">$C$25*D16</f>
        <v>79758000</v>
      </c>
      <c r="E25" s="17">
        <f t="shared" si="13"/>
        <v>71616636</v>
      </c>
      <c r="F25" s="17">
        <f t="shared" si="13"/>
        <v>79039044</v>
      </c>
      <c r="G25" s="17">
        <f t="shared" si="13"/>
        <v>78777090</v>
      </c>
      <c r="H25" s="17">
        <f t="shared" si="13"/>
        <v>84249396</v>
      </c>
      <c r="I25" s="17">
        <f t="shared" si="13"/>
        <v>83878200</v>
      </c>
      <c r="J25" s="17">
        <f t="shared" si="13"/>
        <v>88323102</v>
      </c>
      <c r="K25" s="17">
        <f t="shared" si="13"/>
        <v>90377532</v>
      </c>
      <c r="L25" s="17">
        <f t="shared" si="13"/>
        <v>89888400</v>
      </c>
      <c r="M25" s="17">
        <f t="shared" si="13"/>
        <v>94521546</v>
      </c>
      <c r="N25" s="17">
        <f t="shared" si="13"/>
        <v>93951900</v>
      </c>
      <c r="O25" s="17">
        <f t="shared" si="13"/>
        <v>98712432</v>
      </c>
      <c r="P25" s="25">
        <f t="shared" si="13"/>
        <v>1033093278</v>
      </c>
      <c r="Q25" s="4"/>
      <c r="R25" s="1"/>
    </row>
    <row r="26" spans="1:18" ht="15.75">
      <c r="A26" s="5"/>
      <c r="B26" s="20"/>
      <c r="C26" s="26"/>
      <c r="D26" s="77">
        <v>66925455</v>
      </c>
      <c r="E26" s="71">
        <v>52755772</v>
      </c>
      <c r="F26" s="71">
        <v>64994457</v>
      </c>
      <c r="G26" s="71">
        <v>62925114</v>
      </c>
      <c r="H26" s="71">
        <v>68715364</v>
      </c>
      <c r="I26" s="71"/>
      <c r="J26" s="71"/>
      <c r="K26" s="71"/>
      <c r="L26" s="71"/>
      <c r="M26" s="71"/>
      <c r="N26" s="71"/>
      <c r="O26" s="71"/>
      <c r="P26" s="78"/>
      <c r="Q26" s="4"/>
      <c r="R26" s="1"/>
    </row>
    <row r="27" spans="1:18" ht="16.5" thickBot="1">
      <c r="A27" s="5"/>
      <c r="B27" s="27" t="s">
        <v>17</v>
      </c>
      <c r="C27" s="28"/>
      <c r="D27" s="29">
        <f t="shared" ref="D27:P27" si="14">D16+D25</f>
        <v>459558000</v>
      </c>
      <c r="E27" s="30">
        <f t="shared" si="14"/>
        <v>412648236</v>
      </c>
      <c r="F27" s="30">
        <f t="shared" si="14"/>
        <v>455415444</v>
      </c>
      <c r="G27" s="30">
        <f t="shared" si="14"/>
        <v>453906090</v>
      </c>
      <c r="H27" s="30">
        <f t="shared" si="14"/>
        <v>485436996</v>
      </c>
      <c r="I27" s="30">
        <f t="shared" si="14"/>
        <v>483298200</v>
      </c>
      <c r="J27" s="30">
        <f t="shared" si="14"/>
        <v>508909302</v>
      </c>
      <c r="K27" s="30">
        <f t="shared" si="14"/>
        <v>520746732</v>
      </c>
      <c r="L27" s="30">
        <f t="shared" si="14"/>
        <v>517928400</v>
      </c>
      <c r="M27" s="30">
        <f t="shared" si="14"/>
        <v>544624146</v>
      </c>
      <c r="N27" s="30">
        <f t="shared" si="14"/>
        <v>541341900</v>
      </c>
      <c r="O27" s="30">
        <f t="shared" si="14"/>
        <v>568771632</v>
      </c>
      <c r="P27" s="30">
        <f t="shared" si="14"/>
        <v>5952585078</v>
      </c>
      <c r="Q27" s="4"/>
      <c r="R27" s="1"/>
    </row>
    <row r="28" spans="1:18" ht="17.25" thickTop="1" thickBot="1">
      <c r="A28" s="5"/>
      <c r="B28" s="27" t="s">
        <v>52</v>
      </c>
      <c r="C28" s="28"/>
      <c r="D28" s="29">
        <f>D27</f>
        <v>459558000</v>
      </c>
      <c r="E28" s="30">
        <f>D28+E27</f>
        <v>872206236</v>
      </c>
      <c r="F28" s="30">
        <f t="shared" ref="F28:O28" si="15">E28+F27</f>
        <v>1327621680</v>
      </c>
      <c r="G28" s="30">
        <f t="shared" si="15"/>
        <v>1781527770</v>
      </c>
      <c r="H28" s="30">
        <f t="shared" si="15"/>
        <v>2266964766</v>
      </c>
      <c r="I28" s="30">
        <f t="shared" si="15"/>
        <v>2750262966</v>
      </c>
      <c r="J28" s="30">
        <f t="shared" si="15"/>
        <v>3259172268</v>
      </c>
      <c r="K28" s="30">
        <f t="shared" si="15"/>
        <v>3779919000</v>
      </c>
      <c r="L28" s="30">
        <f t="shared" si="15"/>
        <v>4297847400</v>
      </c>
      <c r="M28" s="30">
        <f t="shared" si="15"/>
        <v>4842471546</v>
      </c>
      <c r="N28" s="30">
        <f t="shared" si="15"/>
        <v>5383813446</v>
      </c>
      <c r="O28" s="30">
        <f t="shared" si="15"/>
        <v>5952585078</v>
      </c>
      <c r="P28" s="30"/>
      <c r="Q28" s="4"/>
      <c r="R28" s="1"/>
    </row>
    <row r="29" spans="1:18" ht="17.25" thickTop="1" thickBot="1">
      <c r="A29" s="5"/>
      <c r="B29" s="79"/>
      <c r="C29" s="80"/>
      <c r="D29" s="81">
        <f>D18+D26</f>
        <v>445828406</v>
      </c>
      <c r="E29" s="116">
        <f>E18+E26</f>
        <v>351577014</v>
      </c>
      <c r="F29" s="116">
        <f>F18+F26</f>
        <v>378583273</v>
      </c>
      <c r="G29" s="116">
        <f>G18+G26</f>
        <v>421297658</v>
      </c>
      <c r="H29" s="116">
        <f>H18+H26</f>
        <v>457647741</v>
      </c>
      <c r="I29" s="116"/>
      <c r="J29" s="116"/>
      <c r="K29" s="116"/>
      <c r="L29" s="116"/>
      <c r="M29" s="116"/>
      <c r="N29" s="116"/>
      <c r="O29" s="116"/>
      <c r="P29" s="82"/>
      <c r="Q29" s="4"/>
      <c r="R29" s="1"/>
    </row>
    <row r="30" spans="1:18" ht="17.25" thickTop="1" thickBot="1">
      <c r="A30" s="5"/>
      <c r="B30" s="79"/>
      <c r="C30" s="80"/>
      <c r="D30" s="70">
        <f>C30+D29</f>
        <v>445828406</v>
      </c>
      <c r="E30" s="70">
        <f t="shared" ref="E30:H30" si="16">D30+E29</f>
        <v>797405420</v>
      </c>
      <c r="F30" s="70">
        <f t="shared" si="16"/>
        <v>1175988693</v>
      </c>
      <c r="G30" s="70">
        <f t="shared" si="16"/>
        <v>1597286351</v>
      </c>
      <c r="H30" s="70">
        <f t="shared" si="16"/>
        <v>2054934092</v>
      </c>
      <c r="I30" s="116"/>
      <c r="J30" s="116"/>
      <c r="K30" s="116"/>
      <c r="L30" s="116"/>
      <c r="M30" s="116"/>
      <c r="N30" s="116"/>
      <c r="O30" s="116"/>
      <c r="P30" s="82"/>
      <c r="Q30" s="4"/>
      <c r="R30" s="1"/>
    </row>
    <row r="31" spans="1:18" ht="16.5" thickTop="1">
      <c r="A31" s="5"/>
      <c r="B31" s="61" t="s">
        <v>18</v>
      </c>
      <c r="C31" s="31"/>
      <c r="D31" s="11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52"/>
      <c r="Q31" s="4"/>
      <c r="R31" s="1"/>
    </row>
    <row r="32" spans="1:18" ht="15.75">
      <c r="A32" s="5"/>
      <c r="B32" s="62" t="s">
        <v>59</v>
      </c>
      <c r="C32" s="31">
        <v>0.3</v>
      </c>
      <c r="D32" s="11">
        <f>(D16*0.6)*$C$32</f>
        <v>68364000</v>
      </c>
      <c r="E32" s="11">
        <f t="shared" ref="E32:O32" si="17">(E16*0.6)*$C$32</f>
        <v>61385688</v>
      </c>
      <c r="F32" s="11">
        <f t="shared" si="17"/>
        <v>67747752</v>
      </c>
      <c r="G32" s="11">
        <f t="shared" si="17"/>
        <v>67523220</v>
      </c>
      <c r="H32" s="11">
        <f t="shared" si="17"/>
        <v>72213768</v>
      </c>
      <c r="I32" s="11">
        <f t="shared" si="17"/>
        <v>71895600</v>
      </c>
      <c r="J32" s="11">
        <f t="shared" si="17"/>
        <v>75705516</v>
      </c>
      <c r="K32" s="11">
        <f t="shared" si="17"/>
        <v>77466456</v>
      </c>
      <c r="L32" s="11">
        <f t="shared" si="17"/>
        <v>77047200</v>
      </c>
      <c r="M32" s="11">
        <f t="shared" si="17"/>
        <v>81018468</v>
      </c>
      <c r="N32" s="11">
        <f t="shared" si="17"/>
        <v>80530200</v>
      </c>
      <c r="O32" s="11">
        <f t="shared" si="17"/>
        <v>84610656</v>
      </c>
      <c r="P32" s="14">
        <f>SUM(D32:O32)</f>
        <v>885508524</v>
      </c>
      <c r="Q32" s="4"/>
      <c r="R32" s="1"/>
    </row>
    <row r="33" spans="1:18" ht="15.75">
      <c r="A33" s="5"/>
      <c r="B33" s="62" t="s">
        <v>58</v>
      </c>
      <c r="C33" s="31">
        <v>0.27</v>
      </c>
      <c r="D33" s="11">
        <f>(D16*0.4)*$C$33</f>
        <v>41018400</v>
      </c>
      <c r="E33" s="11">
        <f t="shared" ref="E33:O33" si="18">(E16*0.4)*$C$33</f>
        <v>36831412.800000004</v>
      </c>
      <c r="F33" s="11">
        <f t="shared" si="18"/>
        <v>40648651.200000003</v>
      </c>
      <c r="G33" s="11">
        <f t="shared" si="18"/>
        <v>40513932</v>
      </c>
      <c r="H33" s="11">
        <f t="shared" si="18"/>
        <v>43328260.800000004</v>
      </c>
      <c r="I33" s="11">
        <f t="shared" si="18"/>
        <v>43137360</v>
      </c>
      <c r="J33" s="11">
        <f t="shared" si="18"/>
        <v>45423309.600000001</v>
      </c>
      <c r="K33" s="11">
        <f t="shared" si="18"/>
        <v>46479873.600000001</v>
      </c>
      <c r="L33" s="11">
        <f t="shared" si="18"/>
        <v>46228320</v>
      </c>
      <c r="M33" s="11">
        <f t="shared" si="18"/>
        <v>48611080.800000004</v>
      </c>
      <c r="N33" s="11">
        <f t="shared" si="18"/>
        <v>48318120</v>
      </c>
      <c r="O33" s="11">
        <f t="shared" si="18"/>
        <v>50766393.600000001</v>
      </c>
      <c r="P33" s="14">
        <f>SUM(D33:O33)</f>
        <v>531305114.4000001</v>
      </c>
      <c r="Q33" s="4"/>
      <c r="R33" s="1"/>
    </row>
    <row r="34" spans="1:18" ht="15.75">
      <c r="A34" s="5"/>
      <c r="B34" s="62" t="s">
        <v>40</v>
      </c>
      <c r="C34" s="31">
        <v>0.02</v>
      </c>
      <c r="D34" s="11">
        <f t="shared" ref="D34:O34" si="19">D16*$C$34</f>
        <v>7596000</v>
      </c>
      <c r="E34" s="14">
        <f t="shared" si="19"/>
        <v>6820632</v>
      </c>
      <c r="F34" s="14">
        <f t="shared" si="19"/>
        <v>7527528</v>
      </c>
      <c r="G34" s="14">
        <f t="shared" si="19"/>
        <v>7502580</v>
      </c>
      <c r="H34" s="14">
        <f t="shared" si="19"/>
        <v>8023752</v>
      </c>
      <c r="I34" s="14">
        <f t="shared" si="19"/>
        <v>7988400</v>
      </c>
      <c r="J34" s="14">
        <f t="shared" si="19"/>
        <v>8411724</v>
      </c>
      <c r="K34" s="14">
        <f t="shared" si="19"/>
        <v>8607384</v>
      </c>
      <c r="L34" s="14">
        <f t="shared" si="19"/>
        <v>8560800</v>
      </c>
      <c r="M34" s="14">
        <f t="shared" si="19"/>
        <v>9002052</v>
      </c>
      <c r="N34" s="14">
        <f t="shared" si="19"/>
        <v>8947800</v>
      </c>
      <c r="O34" s="14">
        <f t="shared" si="19"/>
        <v>9401184</v>
      </c>
      <c r="P34" s="14">
        <f>SUM(D34:O34)</f>
        <v>98389836</v>
      </c>
      <c r="Q34" s="4"/>
      <c r="R34" s="1"/>
    </row>
    <row r="35" spans="1:18" ht="15.75">
      <c r="A35" s="5"/>
      <c r="B35" s="179" t="s">
        <v>81</v>
      </c>
      <c r="C35" s="31">
        <v>2.1999999999999999E-2</v>
      </c>
      <c r="D35" s="11">
        <f>D16*$C$35</f>
        <v>8355599.9999999991</v>
      </c>
      <c r="E35" s="11">
        <f t="shared" ref="E35:O35" si="20">E16*$C$35</f>
        <v>7502695.1999999993</v>
      </c>
      <c r="F35" s="11">
        <f t="shared" si="20"/>
        <v>8280280.7999999998</v>
      </c>
      <c r="G35" s="11">
        <f t="shared" si="20"/>
        <v>8252837.9999999991</v>
      </c>
      <c r="H35" s="11">
        <f t="shared" si="20"/>
        <v>8826127.1999999993</v>
      </c>
      <c r="I35" s="11">
        <f t="shared" si="20"/>
        <v>8787240</v>
      </c>
      <c r="J35" s="11">
        <f t="shared" si="20"/>
        <v>9252896.4000000004</v>
      </c>
      <c r="K35" s="11">
        <f t="shared" si="20"/>
        <v>9468122.4000000004</v>
      </c>
      <c r="L35" s="11">
        <f t="shared" si="20"/>
        <v>9416880</v>
      </c>
      <c r="M35" s="11">
        <f t="shared" si="20"/>
        <v>9902257.1999999993</v>
      </c>
      <c r="N35" s="11">
        <f t="shared" si="20"/>
        <v>9842580</v>
      </c>
      <c r="O35" s="11">
        <f t="shared" si="20"/>
        <v>10341302.399999999</v>
      </c>
      <c r="P35" s="14">
        <f>SUM(D35:O35)</f>
        <v>108228819.59999999</v>
      </c>
      <c r="Q35" s="4"/>
      <c r="R35" s="1"/>
    </row>
    <row r="36" spans="1:18" ht="16.5" thickBot="1">
      <c r="A36" s="5"/>
      <c r="B36" s="63" t="s">
        <v>19</v>
      </c>
      <c r="C36" s="33">
        <f>D36/D16</f>
        <v>0.33</v>
      </c>
      <c r="D36" s="34">
        <f>SUM(D32:D35)</f>
        <v>125334000</v>
      </c>
      <c r="E36" s="34">
        <f t="shared" ref="E36:O36" si="21">SUM(E32:E35)</f>
        <v>112540428.00000001</v>
      </c>
      <c r="F36" s="34">
        <f t="shared" si="21"/>
        <v>124204212</v>
      </c>
      <c r="G36" s="34">
        <f t="shared" si="21"/>
        <v>123792570</v>
      </c>
      <c r="H36" s="34">
        <f t="shared" si="21"/>
        <v>132391908.00000001</v>
      </c>
      <c r="I36" s="34">
        <f t="shared" si="21"/>
        <v>131808600</v>
      </c>
      <c r="J36" s="34">
        <f t="shared" si="21"/>
        <v>138793446</v>
      </c>
      <c r="K36" s="34">
        <f t="shared" si="21"/>
        <v>142021836</v>
      </c>
      <c r="L36" s="34">
        <f t="shared" si="21"/>
        <v>141253200</v>
      </c>
      <c r="M36" s="34">
        <f t="shared" si="21"/>
        <v>148533858</v>
      </c>
      <c r="N36" s="34">
        <f t="shared" si="21"/>
        <v>147638700</v>
      </c>
      <c r="O36" s="34">
        <f t="shared" si="21"/>
        <v>155119536</v>
      </c>
      <c r="P36" s="34">
        <f>SUM(P32:P35)</f>
        <v>1623432294</v>
      </c>
      <c r="Q36" s="4"/>
      <c r="R36" s="1"/>
    </row>
    <row r="37" spans="1:18" ht="17.25" thickTop="1" thickBot="1">
      <c r="A37" s="5"/>
      <c r="B37" s="163"/>
      <c r="C37" s="153"/>
      <c r="D37" s="164">
        <v>169486531</v>
      </c>
      <c r="E37" s="164">
        <v>129830066</v>
      </c>
      <c r="F37" s="164">
        <v>131472209</v>
      </c>
      <c r="G37" s="164">
        <v>121362806</v>
      </c>
      <c r="H37" s="164">
        <f>129642995+8006175</f>
        <v>137649170</v>
      </c>
      <c r="I37" s="155"/>
      <c r="J37" s="155"/>
      <c r="K37" s="155"/>
      <c r="L37" s="155"/>
      <c r="M37" s="155"/>
      <c r="N37" s="155"/>
      <c r="O37" s="155"/>
      <c r="P37" s="155"/>
      <c r="Q37" s="4"/>
      <c r="R37" s="1"/>
    </row>
    <row r="38" spans="1:18" ht="16.5" thickTop="1">
      <c r="A38" s="5"/>
      <c r="B38" s="35" t="s">
        <v>20</v>
      </c>
      <c r="C38" s="36"/>
      <c r="D38" s="37">
        <f t="shared" ref="D38:P38" si="22">D16-D36</f>
        <v>254466000</v>
      </c>
      <c r="E38" s="37">
        <f t="shared" si="22"/>
        <v>228491172</v>
      </c>
      <c r="F38" s="37">
        <f t="shared" si="22"/>
        <v>252172188</v>
      </c>
      <c r="G38" s="37">
        <f t="shared" si="22"/>
        <v>251336430</v>
      </c>
      <c r="H38" s="37">
        <f t="shared" si="22"/>
        <v>268795692</v>
      </c>
      <c r="I38" s="37">
        <f t="shared" si="22"/>
        <v>267611400</v>
      </c>
      <c r="J38" s="37">
        <f t="shared" si="22"/>
        <v>281792754</v>
      </c>
      <c r="K38" s="37">
        <f t="shared" si="22"/>
        <v>288347364</v>
      </c>
      <c r="L38" s="37">
        <f t="shared" si="22"/>
        <v>286786800</v>
      </c>
      <c r="M38" s="37">
        <f t="shared" si="22"/>
        <v>301568742</v>
      </c>
      <c r="N38" s="37">
        <f t="shared" si="22"/>
        <v>299751300</v>
      </c>
      <c r="O38" s="37">
        <f t="shared" si="22"/>
        <v>314939664</v>
      </c>
      <c r="P38" s="37">
        <f t="shared" si="22"/>
        <v>3296059506</v>
      </c>
      <c r="R38" s="1"/>
    </row>
    <row r="39" spans="1:18" ht="16.5" thickBot="1">
      <c r="A39" s="5"/>
      <c r="B39" s="39" t="s">
        <v>21</v>
      </c>
      <c r="C39" s="40">
        <f>1-C36</f>
        <v>0.66999999999999993</v>
      </c>
      <c r="D39" s="41">
        <f t="shared" ref="D39:P39" si="23">D38/D16</f>
        <v>0.67</v>
      </c>
      <c r="E39" s="42">
        <f t="shared" si="23"/>
        <v>0.67</v>
      </c>
      <c r="F39" s="42">
        <f t="shared" si="23"/>
        <v>0.67</v>
      </c>
      <c r="G39" s="42">
        <f t="shared" si="23"/>
        <v>0.67</v>
      </c>
      <c r="H39" s="42">
        <f t="shared" si="23"/>
        <v>0.67</v>
      </c>
      <c r="I39" s="42">
        <f t="shared" si="23"/>
        <v>0.67</v>
      </c>
      <c r="J39" s="42">
        <f t="shared" si="23"/>
        <v>0.67</v>
      </c>
      <c r="K39" s="42">
        <f t="shared" si="23"/>
        <v>0.67</v>
      </c>
      <c r="L39" s="42">
        <f t="shared" si="23"/>
        <v>0.67</v>
      </c>
      <c r="M39" s="42">
        <f t="shared" si="23"/>
        <v>0.67</v>
      </c>
      <c r="N39" s="42">
        <f t="shared" si="23"/>
        <v>0.67</v>
      </c>
      <c r="O39" s="42">
        <f t="shared" si="23"/>
        <v>0.67</v>
      </c>
      <c r="P39" s="42">
        <f t="shared" si="23"/>
        <v>0.67</v>
      </c>
      <c r="Q39" s="4"/>
      <c r="R39" s="1"/>
    </row>
    <row r="40" spans="1:18" ht="17.25" thickTop="1" thickBot="1">
      <c r="A40" s="5"/>
      <c r="B40" s="84"/>
      <c r="C40" s="85"/>
      <c r="D40" s="81">
        <f>D18-D37</f>
        <v>209416420</v>
      </c>
      <c r="E40" s="116">
        <f t="shared" ref="E40:H40" si="24">E18-E37</f>
        <v>168991176</v>
      </c>
      <c r="F40" s="116">
        <f t="shared" si="24"/>
        <v>182116607</v>
      </c>
      <c r="G40" s="116">
        <f t="shared" si="24"/>
        <v>237009738</v>
      </c>
      <c r="H40" s="116">
        <f t="shared" si="24"/>
        <v>251283207</v>
      </c>
      <c r="I40" s="116"/>
      <c r="J40" s="116"/>
      <c r="K40" s="116"/>
      <c r="L40" s="116"/>
      <c r="M40" s="116"/>
      <c r="N40" s="116"/>
      <c r="O40" s="116"/>
      <c r="P40" s="86"/>
      <c r="Q40" s="4"/>
      <c r="R40" s="1"/>
    </row>
    <row r="41" spans="1:18" ht="17.25" thickTop="1" thickBot="1">
      <c r="A41" s="5"/>
      <c r="B41" s="84"/>
      <c r="C41" s="86"/>
      <c r="D41" s="87">
        <f>D40/D18</f>
        <v>0.55269144631180245</v>
      </c>
      <c r="E41" s="87">
        <f t="shared" ref="E41:H41" si="25">E40/E18</f>
        <v>0.56552598091403417</v>
      </c>
      <c r="F41" s="87">
        <f t="shared" si="25"/>
        <v>0.58074968783325487</v>
      </c>
      <c r="G41" s="87">
        <f t="shared" si="25"/>
        <v>0.66135015633340488</v>
      </c>
      <c r="H41" s="87">
        <f t="shared" si="25"/>
        <v>0.64608456857784302</v>
      </c>
      <c r="I41" s="118"/>
      <c r="J41" s="118"/>
      <c r="K41" s="118"/>
      <c r="L41" s="118"/>
      <c r="M41" s="118"/>
      <c r="N41" s="118"/>
      <c r="O41" s="118"/>
      <c r="P41" s="86"/>
      <c r="Q41" s="4"/>
      <c r="R41" s="1"/>
    </row>
    <row r="42" spans="1:18" ht="16.5" thickTop="1">
      <c r="A42" s="5"/>
      <c r="B42" s="64" t="s">
        <v>22</v>
      </c>
      <c r="C42" s="32"/>
      <c r="D42" s="43"/>
      <c r="E42" s="51"/>
      <c r="F42" s="51"/>
      <c r="G42" s="51"/>
      <c r="H42" s="51"/>
      <c r="I42" s="51"/>
      <c r="J42" s="51"/>
      <c r="K42" s="51"/>
      <c r="L42" s="51"/>
      <c r="M42" s="51"/>
      <c r="N42" s="119"/>
      <c r="O42" s="50"/>
      <c r="P42" s="52"/>
      <c r="Q42" s="4"/>
      <c r="R42" s="1"/>
    </row>
    <row r="43" spans="1:18" ht="15.75">
      <c r="A43" s="5"/>
      <c r="B43" s="47" t="s">
        <v>23</v>
      </c>
      <c r="C43" s="31"/>
      <c r="D43" s="11"/>
      <c r="E43" s="14"/>
      <c r="F43" s="14"/>
      <c r="G43" s="14"/>
      <c r="H43" s="14"/>
      <c r="I43" s="14"/>
      <c r="J43" s="14"/>
      <c r="K43" s="14"/>
      <c r="L43" s="14"/>
      <c r="M43" s="14"/>
      <c r="N43" s="120"/>
      <c r="O43" s="50"/>
      <c r="P43" s="52"/>
      <c r="Q43" s="4"/>
      <c r="R43" s="1"/>
    </row>
    <row r="44" spans="1:18" ht="15.75">
      <c r="A44" s="5"/>
      <c r="B44" s="47" t="s">
        <v>36</v>
      </c>
      <c r="C44" s="44"/>
      <c r="D44" s="11">
        <v>4</v>
      </c>
      <c r="E44" s="14">
        <v>4</v>
      </c>
      <c r="F44" s="14">
        <v>4</v>
      </c>
      <c r="G44" s="14">
        <v>3</v>
      </c>
      <c r="H44" s="14">
        <v>3</v>
      </c>
      <c r="I44" s="14">
        <v>3</v>
      </c>
      <c r="J44" s="14">
        <v>2</v>
      </c>
      <c r="K44" s="14">
        <v>2</v>
      </c>
      <c r="L44" s="14">
        <v>1</v>
      </c>
      <c r="M44" s="14">
        <v>1</v>
      </c>
      <c r="N44" s="14">
        <v>1</v>
      </c>
      <c r="O44" s="14">
        <v>1</v>
      </c>
      <c r="P44" s="14">
        <v>1</v>
      </c>
      <c r="Q44" s="4"/>
      <c r="R44" s="1"/>
    </row>
    <row r="45" spans="1:18" ht="15.75">
      <c r="A45" s="5"/>
      <c r="B45" s="47" t="s">
        <v>36</v>
      </c>
      <c r="C45" s="32">
        <v>15000000</v>
      </c>
      <c r="D45" s="14">
        <f t="shared" ref="D45:G45" si="26">(D44*$C$45)*1.1</f>
        <v>66000000.000000007</v>
      </c>
      <c r="E45" s="14">
        <f t="shared" si="26"/>
        <v>66000000.000000007</v>
      </c>
      <c r="F45" s="14">
        <f t="shared" si="26"/>
        <v>66000000.000000007</v>
      </c>
      <c r="G45" s="14">
        <f t="shared" si="26"/>
        <v>49500000.000000007</v>
      </c>
      <c r="H45" s="14">
        <f>(H44*$C$45)*1.1</f>
        <v>49500000.000000007</v>
      </c>
      <c r="I45" s="14">
        <f t="shared" ref="I45:O45" si="27">(I44*$C$45)*1.1</f>
        <v>49500000.000000007</v>
      </c>
      <c r="J45" s="14">
        <f t="shared" si="27"/>
        <v>33000000.000000004</v>
      </c>
      <c r="K45" s="14">
        <f t="shared" si="27"/>
        <v>33000000.000000004</v>
      </c>
      <c r="L45" s="14">
        <f t="shared" si="27"/>
        <v>16500000.000000002</v>
      </c>
      <c r="M45" s="14">
        <f t="shared" si="27"/>
        <v>16500000.000000002</v>
      </c>
      <c r="N45" s="14">
        <f t="shared" si="27"/>
        <v>16500000.000000002</v>
      </c>
      <c r="O45" s="14">
        <f t="shared" si="27"/>
        <v>16500000.000000002</v>
      </c>
      <c r="P45" s="14">
        <f>SUM(D45:O45)</f>
        <v>478500000.00000006</v>
      </c>
      <c r="Q45" s="4"/>
      <c r="R45" s="1"/>
    </row>
    <row r="46" spans="1:18" ht="15.75">
      <c r="A46" s="5"/>
      <c r="B46" s="47" t="s">
        <v>41</v>
      </c>
      <c r="C46" s="32"/>
      <c r="D46" s="11">
        <v>1</v>
      </c>
      <c r="E46" s="14">
        <v>1</v>
      </c>
      <c r="F46" s="14">
        <v>1</v>
      </c>
      <c r="G46" s="14">
        <v>1</v>
      </c>
      <c r="H46" s="14">
        <v>1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1</v>
      </c>
      <c r="Q46" s="4"/>
      <c r="R46" s="1"/>
    </row>
    <row r="47" spans="1:18" ht="15.75">
      <c r="A47" s="5"/>
      <c r="B47" s="47" t="s">
        <v>41</v>
      </c>
      <c r="C47" s="32">
        <v>5500000</v>
      </c>
      <c r="D47" s="11">
        <f t="shared" ref="D47:O47" si="28">(D46*$C$47)*1.1</f>
        <v>6050000.0000000009</v>
      </c>
      <c r="E47" s="14">
        <f t="shared" si="28"/>
        <v>6050000.0000000009</v>
      </c>
      <c r="F47" s="14">
        <f t="shared" si="28"/>
        <v>6050000.0000000009</v>
      </c>
      <c r="G47" s="14">
        <f t="shared" si="28"/>
        <v>6050000.0000000009</v>
      </c>
      <c r="H47" s="14">
        <f t="shared" si="28"/>
        <v>6050000.0000000009</v>
      </c>
      <c r="I47" s="14">
        <f t="shared" si="28"/>
        <v>0</v>
      </c>
      <c r="J47" s="14">
        <f t="shared" si="28"/>
        <v>0</v>
      </c>
      <c r="K47" s="14">
        <f t="shared" si="28"/>
        <v>0</v>
      </c>
      <c r="L47" s="14">
        <f t="shared" si="28"/>
        <v>0</v>
      </c>
      <c r="M47" s="14">
        <f t="shared" si="28"/>
        <v>0</v>
      </c>
      <c r="N47" s="14">
        <f t="shared" si="28"/>
        <v>0</v>
      </c>
      <c r="O47" s="14">
        <f t="shared" si="28"/>
        <v>0</v>
      </c>
      <c r="P47" s="14">
        <f>SUM(D47:O47)</f>
        <v>30250000.000000004</v>
      </c>
      <c r="Q47" s="4"/>
      <c r="R47" s="1"/>
    </row>
    <row r="48" spans="1:18" ht="15.75">
      <c r="A48" s="5"/>
      <c r="B48" s="47" t="s">
        <v>80</v>
      </c>
      <c r="C48" s="32"/>
      <c r="D48" s="11">
        <v>3</v>
      </c>
      <c r="E48" s="14">
        <v>3</v>
      </c>
      <c r="F48" s="14">
        <v>3</v>
      </c>
      <c r="G48" s="14">
        <v>3</v>
      </c>
      <c r="H48" s="14">
        <v>2</v>
      </c>
      <c r="I48" s="14">
        <v>2</v>
      </c>
      <c r="J48" s="14">
        <v>2</v>
      </c>
      <c r="K48" s="14">
        <v>2</v>
      </c>
      <c r="L48" s="14">
        <v>2</v>
      </c>
      <c r="M48" s="14">
        <v>2</v>
      </c>
      <c r="N48" s="14">
        <v>2</v>
      </c>
      <c r="O48" s="14">
        <v>2</v>
      </c>
      <c r="P48" s="14">
        <f>SUM(D48:O48)/12</f>
        <v>2.3333333333333335</v>
      </c>
      <c r="Q48" s="4"/>
      <c r="R48" s="1"/>
    </row>
    <row r="49" spans="1:18" ht="15.75">
      <c r="A49" s="5"/>
      <c r="B49" s="47" t="s">
        <v>80</v>
      </c>
      <c r="C49" s="32">
        <v>5500000</v>
      </c>
      <c r="D49" s="11">
        <f t="shared" ref="D49:O49" si="29">(D48*$C$49)*1.1</f>
        <v>18150000</v>
      </c>
      <c r="E49" s="14">
        <f t="shared" si="29"/>
        <v>18150000</v>
      </c>
      <c r="F49" s="14">
        <f t="shared" si="29"/>
        <v>18150000</v>
      </c>
      <c r="G49" s="14">
        <f t="shared" si="29"/>
        <v>18150000</v>
      </c>
      <c r="H49" s="14">
        <f t="shared" si="29"/>
        <v>12100000.000000002</v>
      </c>
      <c r="I49" s="14">
        <f t="shared" si="29"/>
        <v>12100000.000000002</v>
      </c>
      <c r="J49" s="14">
        <f t="shared" si="29"/>
        <v>12100000.000000002</v>
      </c>
      <c r="K49" s="14">
        <f t="shared" si="29"/>
        <v>12100000.000000002</v>
      </c>
      <c r="L49" s="14">
        <f t="shared" si="29"/>
        <v>12100000.000000002</v>
      </c>
      <c r="M49" s="14">
        <f t="shared" si="29"/>
        <v>12100000.000000002</v>
      </c>
      <c r="N49" s="14">
        <f t="shared" si="29"/>
        <v>12100000.000000002</v>
      </c>
      <c r="O49" s="14">
        <f t="shared" si="29"/>
        <v>12100000.000000002</v>
      </c>
      <c r="P49" s="14">
        <f>SUM(D49:O49)</f>
        <v>169400000</v>
      </c>
      <c r="Q49" s="4"/>
      <c r="R49" s="1"/>
    </row>
    <row r="50" spans="1:18" ht="15.75">
      <c r="A50" s="5"/>
      <c r="B50" s="47" t="s">
        <v>42</v>
      </c>
      <c r="C50" s="32"/>
      <c r="D50" s="11">
        <v>6</v>
      </c>
      <c r="E50" s="14">
        <v>6</v>
      </c>
      <c r="F50" s="14">
        <v>6</v>
      </c>
      <c r="G50" s="14">
        <v>6</v>
      </c>
      <c r="H50" s="14">
        <v>5</v>
      </c>
      <c r="I50" s="14">
        <v>5</v>
      </c>
      <c r="J50" s="14">
        <v>5</v>
      </c>
      <c r="K50" s="14">
        <v>5</v>
      </c>
      <c r="L50" s="14">
        <v>5</v>
      </c>
      <c r="M50" s="14">
        <v>5</v>
      </c>
      <c r="N50" s="14">
        <v>5</v>
      </c>
      <c r="O50" s="14">
        <v>5</v>
      </c>
      <c r="P50" s="14">
        <f>SUM(D50:O50)/12</f>
        <v>5.333333333333333</v>
      </c>
      <c r="Q50" s="4"/>
      <c r="R50" s="1"/>
    </row>
    <row r="51" spans="1:18" ht="15.75">
      <c r="A51" s="5"/>
      <c r="B51" s="47" t="s">
        <v>42</v>
      </c>
      <c r="C51" s="32">
        <v>4000000</v>
      </c>
      <c r="D51" s="11">
        <f t="shared" ref="D51:O51" si="30">(D50*$C$51)*1.1</f>
        <v>26400000.000000004</v>
      </c>
      <c r="E51" s="14">
        <f t="shared" si="30"/>
        <v>26400000.000000004</v>
      </c>
      <c r="F51" s="14">
        <f t="shared" si="30"/>
        <v>26400000.000000004</v>
      </c>
      <c r="G51" s="14">
        <f t="shared" si="30"/>
        <v>26400000.000000004</v>
      </c>
      <c r="H51" s="14">
        <f t="shared" si="30"/>
        <v>22000000</v>
      </c>
      <c r="I51" s="14">
        <f t="shared" si="30"/>
        <v>22000000</v>
      </c>
      <c r="J51" s="14">
        <f t="shared" si="30"/>
        <v>22000000</v>
      </c>
      <c r="K51" s="14">
        <f t="shared" si="30"/>
        <v>22000000</v>
      </c>
      <c r="L51" s="14">
        <f t="shared" si="30"/>
        <v>22000000</v>
      </c>
      <c r="M51" s="14">
        <f t="shared" si="30"/>
        <v>22000000</v>
      </c>
      <c r="N51" s="14">
        <f t="shared" si="30"/>
        <v>22000000</v>
      </c>
      <c r="O51" s="14">
        <f t="shared" si="30"/>
        <v>22000000</v>
      </c>
      <c r="P51" s="14">
        <f>SUM(D51:O51)</f>
        <v>281600000</v>
      </c>
      <c r="Q51" s="4"/>
      <c r="R51" s="1"/>
    </row>
    <row r="52" spans="1:18" ht="15.75">
      <c r="A52" s="5"/>
      <c r="B52" s="47" t="s">
        <v>24</v>
      </c>
      <c r="C52" s="44"/>
      <c r="D52" s="11">
        <v>6</v>
      </c>
      <c r="E52" s="14">
        <v>6</v>
      </c>
      <c r="F52" s="14">
        <v>6</v>
      </c>
      <c r="G52" s="14">
        <v>6</v>
      </c>
      <c r="H52" s="14">
        <v>4</v>
      </c>
      <c r="I52" s="14">
        <v>4</v>
      </c>
      <c r="J52" s="14">
        <v>3</v>
      </c>
      <c r="K52" s="14">
        <v>3</v>
      </c>
      <c r="L52" s="14">
        <v>2</v>
      </c>
      <c r="M52" s="14">
        <v>2</v>
      </c>
      <c r="N52" s="14">
        <v>2</v>
      </c>
      <c r="O52" s="14">
        <v>2</v>
      </c>
      <c r="P52" s="14">
        <f>SUM(D52:O52)/12</f>
        <v>3.8333333333333335</v>
      </c>
      <c r="Q52" s="4"/>
      <c r="R52" s="1"/>
    </row>
    <row r="53" spans="1:18" ht="15.75">
      <c r="A53" s="5"/>
      <c r="B53" s="47" t="s">
        <v>24</v>
      </c>
      <c r="C53" s="32">
        <v>4500000</v>
      </c>
      <c r="D53" s="11">
        <f t="shared" ref="D53:O53" si="31">(D52*$C$53)*1.1</f>
        <v>29700000.000000004</v>
      </c>
      <c r="E53" s="14">
        <f t="shared" si="31"/>
        <v>29700000.000000004</v>
      </c>
      <c r="F53" s="14">
        <f t="shared" si="31"/>
        <v>29700000.000000004</v>
      </c>
      <c r="G53" s="14">
        <f t="shared" si="31"/>
        <v>29700000.000000004</v>
      </c>
      <c r="H53" s="14">
        <f t="shared" si="31"/>
        <v>19800000</v>
      </c>
      <c r="I53" s="14">
        <f t="shared" si="31"/>
        <v>19800000</v>
      </c>
      <c r="J53" s="14">
        <f t="shared" si="31"/>
        <v>14850000.000000002</v>
      </c>
      <c r="K53" s="14">
        <f t="shared" si="31"/>
        <v>14850000.000000002</v>
      </c>
      <c r="L53" s="14">
        <f t="shared" si="31"/>
        <v>9900000</v>
      </c>
      <c r="M53" s="14">
        <f t="shared" si="31"/>
        <v>9900000</v>
      </c>
      <c r="N53" s="14">
        <f t="shared" si="31"/>
        <v>9900000</v>
      </c>
      <c r="O53" s="14">
        <f t="shared" si="31"/>
        <v>9900000</v>
      </c>
      <c r="P53" s="14">
        <f>SUM(D53:O53)</f>
        <v>227700000</v>
      </c>
      <c r="Q53" s="4"/>
      <c r="R53" s="1"/>
    </row>
    <row r="54" spans="1:18" ht="15.75">
      <c r="A54" s="5"/>
      <c r="B54" s="47" t="s">
        <v>25</v>
      </c>
      <c r="C54" s="32"/>
      <c r="D54" s="11">
        <v>11</v>
      </c>
      <c r="E54" s="14">
        <v>11</v>
      </c>
      <c r="F54" s="14">
        <v>9</v>
      </c>
      <c r="G54" s="14">
        <v>6</v>
      </c>
      <c r="H54" s="14">
        <v>6</v>
      </c>
      <c r="I54" s="14">
        <v>6</v>
      </c>
      <c r="J54" s="14">
        <v>6</v>
      </c>
      <c r="K54" s="14">
        <v>6</v>
      </c>
      <c r="L54" s="14">
        <v>6</v>
      </c>
      <c r="M54" s="14">
        <v>5</v>
      </c>
      <c r="N54" s="14">
        <v>5</v>
      </c>
      <c r="O54" s="14">
        <v>5</v>
      </c>
      <c r="P54" s="14">
        <f>SUM(D54:O54)/12</f>
        <v>6.833333333333333</v>
      </c>
      <c r="Q54" s="4"/>
      <c r="R54" s="1"/>
    </row>
    <row r="55" spans="1:18" ht="15.75">
      <c r="A55" s="5"/>
      <c r="B55" s="47" t="s">
        <v>25</v>
      </c>
      <c r="C55" s="32">
        <v>5000000</v>
      </c>
      <c r="D55" s="11">
        <f t="shared" ref="D55:O55" si="32">(D54*$C$55)*1.1</f>
        <v>60500000.000000007</v>
      </c>
      <c r="E55" s="14">
        <f t="shared" si="32"/>
        <v>60500000.000000007</v>
      </c>
      <c r="F55" s="14">
        <f t="shared" si="32"/>
        <v>49500000.000000007</v>
      </c>
      <c r="G55" s="14">
        <f t="shared" si="32"/>
        <v>33000000.000000004</v>
      </c>
      <c r="H55" s="14">
        <f t="shared" si="32"/>
        <v>33000000.000000004</v>
      </c>
      <c r="I55" s="14">
        <f t="shared" si="32"/>
        <v>33000000.000000004</v>
      </c>
      <c r="J55" s="14">
        <f t="shared" si="32"/>
        <v>33000000.000000004</v>
      </c>
      <c r="K55" s="14">
        <f t="shared" si="32"/>
        <v>33000000.000000004</v>
      </c>
      <c r="L55" s="14">
        <f t="shared" si="32"/>
        <v>33000000.000000004</v>
      </c>
      <c r="M55" s="14">
        <f t="shared" si="32"/>
        <v>27500000.000000004</v>
      </c>
      <c r="N55" s="14">
        <f t="shared" si="32"/>
        <v>27500000.000000004</v>
      </c>
      <c r="O55" s="14">
        <f t="shared" si="32"/>
        <v>27500000.000000004</v>
      </c>
      <c r="P55" s="14">
        <f>SUM(D55:O55)</f>
        <v>451000000.00000006</v>
      </c>
      <c r="Q55" s="4"/>
      <c r="R55" s="1"/>
    </row>
    <row r="56" spans="1:18" ht="15.75">
      <c r="A56" s="5"/>
      <c r="B56" s="47" t="s">
        <v>60</v>
      </c>
      <c r="C56" s="44"/>
      <c r="D56" s="14">
        <v>3</v>
      </c>
      <c r="E56" s="14">
        <v>3</v>
      </c>
      <c r="F56" s="14">
        <v>3</v>
      </c>
      <c r="G56" s="14">
        <v>3</v>
      </c>
      <c r="H56" s="14">
        <v>1</v>
      </c>
      <c r="I56" s="14">
        <v>1</v>
      </c>
      <c r="J56" s="14">
        <v>1</v>
      </c>
      <c r="K56" s="14">
        <v>1</v>
      </c>
      <c r="L56" s="14">
        <v>1</v>
      </c>
      <c r="M56" s="14">
        <v>1</v>
      </c>
      <c r="N56" s="14">
        <v>1</v>
      </c>
      <c r="O56" s="14">
        <v>1</v>
      </c>
      <c r="P56" s="14">
        <f>SUM(D56:O56)/12</f>
        <v>1.6666666666666667</v>
      </c>
      <c r="Q56" s="4"/>
      <c r="R56" s="1"/>
    </row>
    <row r="57" spans="1:18" ht="15.75">
      <c r="A57" s="5"/>
      <c r="B57" s="47" t="s">
        <v>60</v>
      </c>
      <c r="C57" s="32">
        <v>3500000</v>
      </c>
      <c r="D57" s="11">
        <f t="shared" ref="D57:O57" si="33">(D56*$C$57)*1.1</f>
        <v>11550000.000000002</v>
      </c>
      <c r="E57" s="14">
        <f t="shared" si="33"/>
        <v>11550000.000000002</v>
      </c>
      <c r="F57" s="14">
        <f t="shared" si="33"/>
        <v>11550000.000000002</v>
      </c>
      <c r="G57" s="14">
        <f t="shared" si="33"/>
        <v>11550000.000000002</v>
      </c>
      <c r="H57" s="14">
        <f t="shared" si="33"/>
        <v>3850000.0000000005</v>
      </c>
      <c r="I57" s="14">
        <f t="shared" si="33"/>
        <v>3850000.0000000005</v>
      </c>
      <c r="J57" s="14">
        <f t="shared" si="33"/>
        <v>3850000.0000000005</v>
      </c>
      <c r="K57" s="14">
        <f t="shared" si="33"/>
        <v>3850000.0000000005</v>
      </c>
      <c r="L57" s="14">
        <f t="shared" si="33"/>
        <v>3850000.0000000005</v>
      </c>
      <c r="M57" s="14">
        <f t="shared" si="33"/>
        <v>3850000.0000000005</v>
      </c>
      <c r="N57" s="14">
        <f t="shared" si="33"/>
        <v>3850000.0000000005</v>
      </c>
      <c r="O57" s="14">
        <f t="shared" si="33"/>
        <v>3850000.0000000005</v>
      </c>
      <c r="P57" s="14">
        <f>SUM(D57:O57)</f>
        <v>77000000.000000015</v>
      </c>
      <c r="Q57" s="4"/>
      <c r="R57" s="1"/>
    </row>
    <row r="58" spans="1:18" ht="15.75">
      <c r="A58" s="5"/>
      <c r="B58" s="47" t="s">
        <v>62</v>
      </c>
      <c r="C58" s="31">
        <v>0.1</v>
      </c>
      <c r="D58" s="14">
        <f t="shared" ref="D58:O58" si="34">(D45+D47+D49+D51+D53+D55+D57)*$C$58</f>
        <v>21835000.000000004</v>
      </c>
      <c r="E58" s="115">
        <f t="shared" si="34"/>
        <v>21835000.000000004</v>
      </c>
      <c r="F58" s="115">
        <f t="shared" si="34"/>
        <v>20735000.000000004</v>
      </c>
      <c r="G58" s="115">
        <f t="shared" si="34"/>
        <v>17435000</v>
      </c>
      <c r="H58" s="115">
        <f t="shared" si="34"/>
        <v>14630000.000000004</v>
      </c>
      <c r="I58" s="115">
        <f t="shared" si="34"/>
        <v>14025000</v>
      </c>
      <c r="J58" s="115">
        <f t="shared" si="34"/>
        <v>11880000.000000002</v>
      </c>
      <c r="K58" s="115">
        <f t="shared" si="34"/>
        <v>11880000.000000002</v>
      </c>
      <c r="L58" s="115">
        <f t="shared" si="34"/>
        <v>9735000</v>
      </c>
      <c r="M58" s="115">
        <f t="shared" si="34"/>
        <v>9185000</v>
      </c>
      <c r="N58" s="115">
        <f t="shared" si="34"/>
        <v>9185000</v>
      </c>
      <c r="O58" s="109">
        <f t="shared" si="34"/>
        <v>9185000</v>
      </c>
      <c r="P58" s="109">
        <f>SUM(D58:O58)</f>
        <v>171545000.00000003</v>
      </c>
      <c r="Q58" s="4"/>
      <c r="R58" s="1"/>
    </row>
    <row r="59" spans="1:18" ht="15.75">
      <c r="A59" s="5"/>
      <c r="B59" s="7" t="s">
        <v>26</v>
      </c>
      <c r="C59" s="165"/>
      <c r="D59" s="24">
        <f t="shared" ref="D59:O59" si="35">D2+D6+D44+D46+D48+D50+D52+D54+D56</f>
        <v>34</v>
      </c>
      <c r="E59" s="17">
        <f t="shared" si="35"/>
        <v>34</v>
      </c>
      <c r="F59" s="17">
        <f t="shared" si="35"/>
        <v>32</v>
      </c>
      <c r="G59" s="17">
        <f t="shared" si="35"/>
        <v>28</v>
      </c>
      <c r="H59" s="17">
        <f t="shared" si="35"/>
        <v>22</v>
      </c>
      <c r="I59" s="17">
        <f t="shared" si="35"/>
        <v>21</v>
      </c>
      <c r="J59" s="17">
        <f t="shared" si="35"/>
        <v>19</v>
      </c>
      <c r="K59" s="17">
        <f t="shared" si="35"/>
        <v>19</v>
      </c>
      <c r="L59" s="17">
        <f t="shared" si="35"/>
        <v>17</v>
      </c>
      <c r="M59" s="17">
        <f t="shared" si="35"/>
        <v>16</v>
      </c>
      <c r="N59" s="17">
        <f t="shared" si="35"/>
        <v>16</v>
      </c>
      <c r="O59" s="17">
        <f t="shared" si="35"/>
        <v>16</v>
      </c>
      <c r="P59" s="17"/>
      <c r="Q59" s="4"/>
      <c r="R59" s="1"/>
    </row>
    <row r="60" spans="1:18" ht="15.75">
      <c r="A60" s="5"/>
      <c r="B60" s="166"/>
      <c r="C60" s="26"/>
      <c r="D60" s="24">
        <f t="shared" ref="D60:O60" si="36">D45+D47+D49+D51+D53+D55+D57+D58</f>
        <v>240185000.00000003</v>
      </c>
      <c r="E60" s="24">
        <f t="shared" si="36"/>
        <v>240185000.00000003</v>
      </c>
      <c r="F60" s="24">
        <f t="shared" si="36"/>
        <v>228085000.00000003</v>
      </c>
      <c r="G60" s="24">
        <f t="shared" si="36"/>
        <v>191785000</v>
      </c>
      <c r="H60" s="24">
        <f t="shared" si="36"/>
        <v>160930000.00000003</v>
      </c>
      <c r="I60" s="24">
        <f t="shared" si="36"/>
        <v>154275000</v>
      </c>
      <c r="J60" s="24">
        <f t="shared" si="36"/>
        <v>130680000.00000001</v>
      </c>
      <c r="K60" s="24">
        <f t="shared" si="36"/>
        <v>130680000.00000001</v>
      </c>
      <c r="L60" s="24">
        <f t="shared" si="36"/>
        <v>107085000</v>
      </c>
      <c r="M60" s="24">
        <f t="shared" si="36"/>
        <v>101035000</v>
      </c>
      <c r="N60" s="24">
        <f t="shared" si="36"/>
        <v>101035000</v>
      </c>
      <c r="O60" s="24">
        <f t="shared" si="36"/>
        <v>101035000</v>
      </c>
      <c r="P60" s="24">
        <f>SUM(D60:O60)</f>
        <v>1886995000</v>
      </c>
      <c r="Q60" s="4"/>
      <c r="R60" s="1"/>
    </row>
    <row r="61" spans="1:18" ht="15.75">
      <c r="A61" s="5"/>
      <c r="B61" s="167"/>
      <c r="C61" s="16">
        <v>0.22</v>
      </c>
      <c r="D61" s="168">
        <f t="shared" ref="D61:P61" si="37">D60/D16</f>
        <v>0.63239863085834658</v>
      </c>
      <c r="E61" s="168">
        <f t="shared" si="37"/>
        <v>0.70428957316565399</v>
      </c>
      <c r="F61" s="168">
        <f t="shared" si="37"/>
        <v>0.60600239547431778</v>
      </c>
      <c r="G61" s="168">
        <f t="shared" si="37"/>
        <v>0.51125079639270754</v>
      </c>
      <c r="H61" s="168">
        <f t="shared" si="37"/>
        <v>0.40113403305585721</v>
      </c>
      <c r="I61" s="168">
        <f t="shared" si="37"/>
        <v>0.38624755896049273</v>
      </c>
      <c r="J61" s="168">
        <f t="shared" si="37"/>
        <v>0.31070919587946538</v>
      </c>
      <c r="K61" s="168">
        <f t="shared" si="37"/>
        <v>0.3036462646490502</v>
      </c>
      <c r="L61" s="168">
        <f t="shared" si="37"/>
        <v>0.25017521726941405</v>
      </c>
      <c r="M61" s="168">
        <f t="shared" si="37"/>
        <v>0.22447104282445823</v>
      </c>
      <c r="N61" s="168">
        <f t="shared" si="37"/>
        <v>0.22583204810120924</v>
      </c>
      <c r="O61" s="168">
        <f t="shared" si="37"/>
        <v>0.21494101168533666</v>
      </c>
      <c r="P61" s="168">
        <f t="shared" si="37"/>
        <v>0.38357518961613069</v>
      </c>
      <c r="Q61" s="4"/>
      <c r="R61" s="1"/>
    </row>
    <row r="62" spans="1:18" ht="15.75">
      <c r="A62" s="5"/>
      <c r="B62" s="166"/>
      <c r="C62" s="26"/>
      <c r="D62" s="71">
        <v>230139413</v>
      </c>
      <c r="E62" s="71">
        <v>222646940</v>
      </c>
      <c r="F62" s="71">
        <v>184221110</v>
      </c>
      <c r="G62" s="71">
        <v>166511558</v>
      </c>
      <c r="H62" s="71">
        <v>192642995</v>
      </c>
      <c r="I62" s="71"/>
      <c r="J62" s="71"/>
      <c r="K62" s="71"/>
      <c r="L62" s="71"/>
      <c r="M62" s="71"/>
      <c r="N62" s="71"/>
      <c r="O62" s="71"/>
      <c r="P62" s="169"/>
      <c r="Q62" s="4"/>
      <c r="R62" s="1"/>
    </row>
    <row r="63" spans="1:18" ht="15.75">
      <c r="A63" s="5"/>
      <c r="B63" s="72" t="s">
        <v>43</v>
      </c>
      <c r="C63" s="47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50"/>
      <c r="Q63" s="4"/>
      <c r="R63" s="1"/>
    </row>
    <row r="64" spans="1:18" ht="15.75">
      <c r="A64" s="5"/>
      <c r="B64" s="73" t="s">
        <v>27</v>
      </c>
      <c r="C64" s="31">
        <v>2.5000000000000001E-2</v>
      </c>
      <c r="D64" s="14">
        <f t="shared" ref="D64:O64" si="38">$C$64*D16</f>
        <v>9495000</v>
      </c>
      <c r="E64" s="14">
        <f t="shared" si="38"/>
        <v>8525790</v>
      </c>
      <c r="F64" s="14">
        <f t="shared" si="38"/>
        <v>9409410</v>
      </c>
      <c r="G64" s="14">
        <f t="shared" si="38"/>
        <v>9378225</v>
      </c>
      <c r="H64" s="14">
        <f t="shared" si="38"/>
        <v>10029690</v>
      </c>
      <c r="I64" s="14">
        <f t="shared" si="38"/>
        <v>9985500</v>
      </c>
      <c r="J64" s="14">
        <f t="shared" si="38"/>
        <v>10514655</v>
      </c>
      <c r="K64" s="14">
        <f t="shared" si="38"/>
        <v>10759230</v>
      </c>
      <c r="L64" s="14">
        <f t="shared" si="38"/>
        <v>10701000</v>
      </c>
      <c r="M64" s="14">
        <f t="shared" si="38"/>
        <v>11252565</v>
      </c>
      <c r="N64" s="14">
        <f t="shared" si="38"/>
        <v>11184750</v>
      </c>
      <c r="O64" s="14">
        <f t="shared" si="38"/>
        <v>11751480</v>
      </c>
      <c r="P64" s="14">
        <f>SUM(D64:O64)</f>
        <v>122987295</v>
      </c>
      <c r="Q64" s="4"/>
      <c r="R64" s="1"/>
    </row>
    <row r="65" spans="1:18" ht="15.75">
      <c r="A65" s="5"/>
      <c r="B65" s="73" t="s">
        <v>28</v>
      </c>
      <c r="C65" s="31">
        <v>5.0000000000000001E-3</v>
      </c>
      <c r="D65" s="14">
        <f t="shared" ref="D65:O65" si="39">$C$65*D16</f>
        <v>1899000</v>
      </c>
      <c r="E65" s="14">
        <f t="shared" si="39"/>
        <v>1705158</v>
      </c>
      <c r="F65" s="14">
        <f t="shared" si="39"/>
        <v>1881882</v>
      </c>
      <c r="G65" s="14">
        <f t="shared" si="39"/>
        <v>1875645</v>
      </c>
      <c r="H65" s="14">
        <f t="shared" si="39"/>
        <v>2005938</v>
      </c>
      <c r="I65" s="14">
        <f t="shared" si="39"/>
        <v>1997100</v>
      </c>
      <c r="J65" s="14">
        <f t="shared" si="39"/>
        <v>2102931</v>
      </c>
      <c r="K65" s="14">
        <f t="shared" si="39"/>
        <v>2151846</v>
      </c>
      <c r="L65" s="14">
        <f t="shared" si="39"/>
        <v>2140200</v>
      </c>
      <c r="M65" s="14">
        <f t="shared" si="39"/>
        <v>2250513</v>
      </c>
      <c r="N65" s="14">
        <f t="shared" si="39"/>
        <v>2236950</v>
      </c>
      <c r="O65" s="14">
        <f t="shared" si="39"/>
        <v>2350296</v>
      </c>
      <c r="P65" s="14">
        <f>SUM(D65:O65)</f>
        <v>24597459</v>
      </c>
      <c r="Q65" s="4"/>
      <c r="R65" s="1"/>
    </row>
    <row r="66" spans="1:18" ht="15.75">
      <c r="A66" s="5"/>
      <c r="B66" s="73"/>
      <c r="C66" s="31"/>
      <c r="D66" s="51">
        <f t="shared" ref="D66:O66" si="40">SUM(D64:D65)</f>
        <v>11394000</v>
      </c>
      <c r="E66" s="51">
        <f t="shared" si="40"/>
        <v>10230948</v>
      </c>
      <c r="F66" s="51">
        <f t="shared" si="40"/>
        <v>11291292</v>
      </c>
      <c r="G66" s="51">
        <f t="shared" si="40"/>
        <v>11253870</v>
      </c>
      <c r="H66" s="51">
        <f t="shared" si="40"/>
        <v>12035628</v>
      </c>
      <c r="I66" s="51">
        <f t="shared" si="40"/>
        <v>11982600</v>
      </c>
      <c r="J66" s="51">
        <f t="shared" si="40"/>
        <v>12617586</v>
      </c>
      <c r="K66" s="51">
        <f t="shared" si="40"/>
        <v>12911076</v>
      </c>
      <c r="L66" s="51">
        <f t="shared" si="40"/>
        <v>12841200</v>
      </c>
      <c r="M66" s="51">
        <f t="shared" si="40"/>
        <v>13503078</v>
      </c>
      <c r="N66" s="51">
        <f t="shared" si="40"/>
        <v>13421700</v>
      </c>
      <c r="O66" s="51">
        <f t="shared" si="40"/>
        <v>14101776</v>
      </c>
      <c r="P66" s="51">
        <f>SUM(D66:O66)</f>
        <v>147584754</v>
      </c>
      <c r="Q66" s="4"/>
      <c r="R66" s="1"/>
    </row>
    <row r="67" spans="1:18" ht="15.75">
      <c r="A67" s="5"/>
      <c r="B67" s="72" t="s">
        <v>44</v>
      </c>
      <c r="C67" s="31"/>
      <c r="D67" s="75">
        <v>20379765</v>
      </c>
      <c r="E67" s="75">
        <v>21822605</v>
      </c>
      <c r="F67" s="75">
        <v>14549140</v>
      </c>
      <c r="G67" s="75">
        <v>11140321</v>
      </c>
      <c r="H67" s="75">
        <v>11691016</v>
      </c>
      <c r="I67" s="14"/>
      <c r="J67" s="14"/>
      <c r="K67" s="14"/>
      <c r="L67" s="14"/>
      <c r="M67" s="14"/>
      <c r="N67" s="14"/>
      <c r="O67" s="14"/>
      <c r="P67" s="14"/>
      <c r="Q67" s="4"/>
      <c r="R67" s="1"/>
    </row>
    <row r="68" spans="1:18" ht="15.75">
      <c r="A68" s="5"/>
      <c r="B68" s="73" t="s">
        <v>45</v>
      </c>
      <c r="C68" s="31"/>
      <c r="D68" s="14">
        <v>60000000</v>
      </c>
      <c r="E68" s="14">
        <v>60000000</v>
      </c>
      <c r="F68" s="14">
        <v>60000000</v>
      </c>
      <c r="G68" s="14">
        <v>30000000</v>
      </c>
      <c r="H68" s="14">
        <v>30000000</v>
      </c>
      <c r="I68" s="14">
        <f t="shared" ref="I68:L68" si="41">(I16-I14)*0.11</f>
        <v>37061200</v>
      </c>
      <c r="J68" s="14">
        <f t="shared" si="41"/>
        <v>39114482</v>
      </c>
      <c r="K68" s="14">
        <f t="shared" si="41"/>
        <v>39915612</v>
      </c>
      <c r="L68" s="14">
        <f t="shared" si="41"/>
        <v>39384400</v>
      </c>
      <c r="M68" s="14">
        <f>(M16-M14)*0.11</f>
        <v>41536286</v>
      </c>
      <c r="N68" s="14">
        <f t="shared" ref="N68:O68" si="42">(N16-N14)*0.11</f>
        <v>40962900</v>
      </c>
      <c r="O68" s="14">
        <f t="shared" si="42"/>
        <v>43181512</v>
      </c>
      <c r="P68" s="14">
        <f>SUM(D68:O68)</f>
        <v>521156392</v>
      </c>
      <c r="Q68" s="4"/>
      <c r="R68" s="1"/>
    </row>
    <row r="69" spans="1:18" ht="15.75">
      <c r="A69" s="5"/>
      <c r="B69" s="73" t="s">
        <v>78</v>
      </c>
      <c r="C69" s="31"/>
      <c r="D69" s="14">
        <v>20000000</v>
      </c>
      <c r="E69" s="14">
        <v>20000000</v>
      </c>
      <c r="F69" s="14">
        <v>20000000</v>
      </c>
      <c r="G69" s="14">
        <v>10000000</v>
      </c>
      <c r="H69" s="14">
        <v>10000000</v>
      </c>
      <c r="I69" s="14">
        <v>10000000</v>
      </c>
      <c r="J69" s="14">
        <v>10000000</v>
      </c>
      <c r="K69" s="14">
        <v>10000000</v>
      </c>
      <c r="L69" s="14">
        <v>10000000</v>
      </c>
      <c r="M69" s="14">
        <v>10000000</v>
      </c>
      <c r="N69" s="14">
        <v>10000000</v>
      </c>
      <c r="O69" s="14">
        <v>10000000</v>
      </c>
      <c r="P69" s="14">
        <f>SUM(D69:O69)</f>
        <v>150000000</v>
      </c>
      <c r="Q69" s="4"/>
      <c r="R69" s="1"/>
    </row>
    <row r="70" spans="1:18" ht="15.75">
      <c r="A70" s="5"/>
      <c r="B70" s="73" t="s">
        <v>67</v>
      </c>
      <c r="C70" s="31">
        <v>0.02</v>
      </c>
      <c r="D70" s="14">
        <f t="shared" ref="D70:O70" si="43">$C$70*D16</f>
        <v>7596000</v>
      </c>
      <c r="E70" s="14">
        <f t="shared" si="43"/>
        <v>6820632</v>
      </c>
      <c r="F70" s="14">
        <f t="shared" si="43"/>
        <v>7527528</v>
      </c>
      <c r="G70" s="14">
        <f t="shared" si="43"/>
        <v>7502580</v>
      </c>
      <c r="H70" s="14">
        <f t="shared" si="43"/>
        <v>8023752</v>
      </c>
      <c r="I70" s="14">
        <f t="shared" si="43"/>
        <v>7988400</v>
      </c>
      <c r="J70" s="14">
        <f t="shared" si="43"/>
        <v>8411724</v>
      </c>
      <c r="K70" s="14">
        <f t="shared" si="43"/>
        <v>8607384</v>
      </c>
      <c r="L70" s="14">
        <f t="shared" si="43"/>
        <v>8560800</v>
      </c>
      <c r="M70" s="14">
        <f t="shared" si="43"/>
        <v>9002052</v>
      </c>
      <c r="N70" s="14">
        <f t="shared" si="43"/>
        <v>8947800</v>
      </c>
      <c r="O70" s="14">
        <f t="shared" si="43"/>
        <v>9401184</v>
      </c>
      <c r="P70" s="14">
        <f>SUM(D70:O70)</f>
        <v>98389836</v>
      </c>
      <c r="Q70" s="4"/>
      <c r="R70" s="1"/>
    </row>
    <row r="71" spans="1:18" ht="15.75">
      <c r="A71" s="5"/>
      <c r="B71" s="73" t="s">
        <v>47</v>
      </c>
      <c r="C71" s="31">
        <v>0.06</v>
      </c>
      <c r="D71" s="14">
        <f t="shared" ref="D71:O71" si="44">$C$71*D16</f>
        <v>22788000</v>
      </c>
      <c r="E71" s="14">
        <f t="shared" si="44"/>
        <v>20461896</v>
      </c>
      <c r="F71" s="14">
        <f t="shared" si="44"/>
        <v>22582584</v>
      </c>
      <c r="G71" s="14">
        <f t="shared" si="44"/>
        <v>22507740</v>
      </c>
      <c r="H71" s="14">
        <f t="shared" si="44"/>
        <v>24071256</v>
      </c>
      <c r="I71" s="14">
        <f t="shared" si="44"/>
        <v>23965200</v>
      </c>
      <c r="J71" s="14">
        <f t="shared" si="44"/>
        <v>25235172</v>
      </c>
      <c r="K71" s="14">
        <f t="shared" si="44"/>
        <v>25822152</v>
      </c>
      <c r="L71" s="14">
        <f t="shared" si="44"/>
        <v>25682400</v>
      </c>
      <c r="M71" s="14">
        <f t="shared" si="44"/>
        <v>27006156</v>
      </c>
      <c r="N71" s="14">
        <f t="shared" si="44"/>
        <v>26843400</v>
      </c>
      <c r="O71" s="14">
        <f t="shared" si="44"/>
        <v>28203552</v>
      </c>
      <c r="P71" s="14">
        <f>SUM(D71:O71)</f>
        <v>295169508</v>
      </c>
      <c r="Q71" s="4"/>
      <c r="R71" s="1"/>
    </row>
    <row r="72" spans="1:18" ht="15.75">
      <c r="A72" s="5"/>
      <c r="B72" s="73"/>
      <c r="C72" s="31"/>
      <c r="D72" s="51">
        <f t="shared" ref="D72:O72" si="45">SUM(D68:D71)</f>
        <v>110384000</v>
      </c>
      <c r="E72" s="51">
        <f t="shared" si="45"/>
        <v>107282528</v>
      </c>
      <c r="F72" s="51">
        <f t="shared" si="45"/>
        <v>110110112</v>
      </c>
      <c r="G72" s="51">
        <f t="shared" si="45"/>
        <v>70010320</v>
      </c>
      <c r="H72" s="51">
        <f t="shared" si="45"/>
        <v>72095008</v>
      </c>
      <c r="I72" s="51">
        <f t="shared" si="45"/>
        <v>79014800</v>
      </c>
      <c r="J72" s="51">
        <f t="shared" si="45"/>
        <v>82761378</v>
      </c>
      <c r="K72" s="51">
        <f t="shared" si="45"/>
        <v>84345148</v>
      </c>
      <c r="L72" s="51">
        <f t="shared" si="45"/>
        <v>83627600</v>
      </c>
      <c r="M72" s="51">
        <f t="shared" si="45"/>
        <v>87544494</v>
      </c>
      <c r="N72" s="51">
        <f t="shared" si="45"/>
        <v>86754100</v>
      </c>
      <c r="O72" s="51">
        <f t="shared" si="45"/>
        <v>90786248</v>
      </c>
      <c r="P72" s="51">
        <f>SUM(D72:O72)</f>
        <v>1064715736</v>
      </c>
      <c r="Q72" s="4"/>
      <c r="R72" s="1"/>
    </row>
    <row r="73" spans="1:18" ht="15.75">
      <c r="A73" s="5"/>
      <c r="B73" s="72" t="s">
        <v>29</v>
      </c>
      <c r="C73" s="31"/>
      <c r="D73" s="75">
        <f>37818400+71834743</f>
        <v>109653143</v>
      </c>
      <c r="E73" s="75">
        <f>36399800+70670734</f>
        <v>107070534</v>
      </c>
      <c r="F73" s="75">
        <f>35286000+53532277</f>
        <v>88818277</v>
      </c>
      <c r="G73" s="75">
        <f>28191380+40368114</f>
        <v>68559494</v>
      </c>
      <c r="H73" s="75">
        <f>25766500+10539339+30000000</f>
        <v>66305839</v>
      </c>
      <c r="I73" s="75"/>
      <c r="J73" s="75"/>
      <c r="K73" s="75"/>
      <c r="L73" s="75"/>
      <c r="M73" s="75"/>
      <c r="N73" s="75"/>
      <c r="O73" s="75"/>
      <c r="P73" s="75"/>
      <c r="Q73" s="4"/>
      <c r="R73" s="1"/>
    </row>
    <row r="74" spans="1:18" ht="15.75">
      <c r="A74" s="5"/>
      <c r="B74" s="73" t="s">
        <v>30</v>
      </c>
      <c r="C74" s="31"/>
      <c r="D74" s="14">
        <v>6250000</v>
      </c>
      <c r="E74" s="14">
        <v>6250000</v>
      </c>
      <c r="F74" s="14">
        <v>6250000</v>
      </c>
      <c r="G74" s="14">
        <v>6250000</v>
      </c>
      <c r="H74" s="14">
        <v>6250000</v>
      </c>
      <c r="I74" s="14">
        <v>6250000</v>
      </c>
      <c r="J74" s="14">
        <v>6250000</v>
      </c>
      <c r="K74" s="14">
        <v>6250000</v>
      </c>
      <c r="L74" s="14">
        <v>6250000</v>
      </c>
      <c r="M74" s="14">
        <v>6250000</v>
      </c>
      <c r="N74" s="14">
        <v>6250000</v>
      </c>
      <c r="O74" s="14">
        <v>6250000</v>
      </c>
      <c r="P74" s="14">
        <f t="shared" ref="P74:P78" si="46">SUM(D74:O74)</f>
        <v>75000000</v>
      </c>
      <c r="Q74" s="4"/>
      <c r="R74" s="1"/>
    </row>
    <row r="75" spans="1:18" ht="15.75">
      <c r="A75" s="5"/>
      <c r="B75" s="73" t="s">
        <v>31</v>
      </c>
      <c r="C75" s="31">
        <v>1.7500000000000002E-2</v>
      </c>
      <c r="D75" s="14">
        <f t="shared" ref="D75:O75" si="47">$C$75*D16</f>
        <v>6646500.0000000009</v>
      </c>
      <c r="E75" s="14">
        <f t="shared" si="47"/>
        <v>5968053.0000000009</v>
      </c>
      <c r="F75" s="14">
        <f t="shared" si="47"/>
        <v>6586587.0000000009</v>
      </c>
      <c r="G75" s="14">
        <f t="shared" si="47"/>
        <v>6564757.5000000009</v>
      </c>
      <c r="H75" s="14">
        <f t="shared" si="47"/>
        <v>7020783.0000000009</v>
      </c>
      <c r="I75" s="14">
        <f t="shared" si="47"/>
        <v>6989850.0000000009</v>
      </c>
      <c r="J75" s="14">
        <f t="shared" si="47"/>
        <v>7360258.5000000009</v>
      </c>
      <c r="K75" s="14">
        <f t="shared" si="47"/>
        <v>7531461.0000000009</v>
      </c>
      <c r="L75" s="14">
        <f t="shared" si="47"/>
        <v>7490700.0000000009</v>
      </c>
      <c r="M75" s="14">
        <f t="shared" si="47"/>
        <v>7876795.5000000009</v>
      </c>
      <c r="N75" s="14">
        <f t="shared" si="47"/>
        <v>7829325.0000000009</v>
      </c>
      <c r="O75" s="14">
        <f t="shared" si="47"/>
        <v>8226036.0000000009</v>
      </c>
      <c r="P75" s="14">
        <f t="shared" si="46"/>
        <v>86091106.500000015</v>
      </c>
      <c r="Q75" s="4"/>
      <c r="R75" s="1"/>
    </row>
    <row r="76" spans="1:18" ht="15.75">
      <c r="A76" s="5"/>
      <c r="B76" s="73" t="s">
        <v>46</v>
      </c>
      <c r="C76" s="31">
        <v>5.0000000000000001E-3</v>
      </c>
      <c r="D76" s="14">
        <f t="shared" ref="D76:O76" si="48">$C$76*D16</f>
        <v>1899000</v>
      </c>
      <c r="E76" s="14">
        <f t="shared" si="48"/>
        <v>1705158</v>
      </c>
      <c r="F76" s="14">
        <f t="shared" si="48"/>
        <v>1881882</v>
      </c>
      <c r="G76" s="14">
        <f t="shared" si="48"/>
        <v>1875645</v>
      </c>
      <c r="H76" s="14">
        <f t="shared" si="48"/>
        <v>2005938</v>
      </c>
      <c r="I76" s="14">
        <f t="shared" si="48"/>
        <v>1997100</v>
      </c>
      <c r="J76" s="14">
        <f t="shared" si="48"/>
        <v>2102931</v>
      </c>
      <c r="K76" s="14">
        <f t="shared" si="48"/>
        <v>2151846</v>
      </c>
      <c r="L76" s="14">
        <f t="shared" si="48"/>
        <v>2140200</v>
      </c>
      <c r="M76" s="14">
        <f t="shared" si="48"/>
        <v>2250513</v>
      </c>
      <c r="N76" s="14">
        <f t="shared" si="48"/>
        <v>2236950</v>
      </c>
      <c r="O76" s="14">
        <f t="shared" si="48"/>
        <v>2350296</v>
      </c>
      <c r="P76" s="14">
        <f t="shared" si="46"/>
        <v>24597459</v>
      </c>
      <c r="Q76" s="4"/>
      <c r="R76" s="1"/>
    </row>
    <row r="77" spans="1:18" ht="15.75">
      <c r="A77" s="5"/>
      <c r="B77" s="172" t="s">
        <v>32</v>
      </c>
      <c r="C77" s="173">
        <v>0.02</v>
      </c>
      <c r="D77" s="14">
        <f t="shared" ref="D77:O77" si="49">$C$77*D16</f>
        <v>7596000</v>
      </c>
      <c r="E77" s="14">
        <f t="shared" si="49"/>
        <v>6820632</v>
      </c>
      <c r="F77" s="14">
        <f t="shared" si="49"/>
        <v>7527528</v>
      </c>
      <c r="G77" s="14">
        <f t="shared" si="49"/>
        <v>7502580</v>
      </c>
      <c r="H77" s="14">
        <f t="shared" si="49"/>
        <v>8023752</v>
      </c>
      <c r="I77" s="14">
        <f t="shared" si="49"/>
        <v>7988400</v>
      </c>
      <c r="J77" s="14">
        <f t="shared" si="49"/>
        <v>8411724</v>
      </c>
      <c r="K77" s="14">
        <f t="shared" si="49"/>
        <v>8607384</v>
      </c>
      <c r="L77" s="14">
        <f t="shared" si="49"/>
        <v>8560800</v>
      </c>
      <c r="M77" s="14">
        <f t="shared" si="49"/>
        <v>9002052</v>
      </c>
      <c r="N77" s="14">
        <f t="shared" si="49"/>
        <v>8947800</v>
      </c>
      <c r="O77" s="14">
        <f t="shared" si="49"/>
        <v>9401184</v>
      </c>
      <c r="P77" s="14">
        <f t="shared" si="46"/>
        <v>98389836</v>
      </c>
      <c r="Q77" s="4"/>
      <c r="R77" s="1"/>
    </row>
    <row r="78" spans="1:18" ht="15.75">
      <c r="A78" s="5"/>
      <c r="B78" s="180" t="s">
        <v>33</v>
      </c>
      <c r="C78" s="181"/>
      <c r="D78" s="182">
        <f>SUM(D74:D77)</f>
        <v>22391500</v>
      </c>
      <c r="E78" s="91">
        <f t="shared" ref="E78:O78" si="50">SUM(E74:E77)</f>
        <v>20743843</v>
      </c>
      <c r="F78" s="91">
        <f t="shared" si="50"/>
        <v>22245997</v>
      </c>
      <c r="G78" s="91">
        <f t="shared" si="50"/>
        <v>22192982.5</v>
      </c>
      <c r="H78" s="91">
        <f t="shared" si="50"/>
        <v>23300473</v>
      </c>
      <c r="I78" s="91">
        <f t="shared" si="50"/>
        <v>23225350</v>
      </c>
      <c r="J78" s="91">
        <f t="shared" si="50"/>
        <v>24124913.5</v>
      </c>
      <c r="K78" s="91">
        <f t="shared" si="50"/>
        <v>24540691</v>
      </c>
      <c r="L78" s="91">
        <f t="shared" si="50"/>
        <v>24441700</v>
      </c>
      <c r="M78" s="91">
        <f t="shared" si="50"/>
        <v>25379360.5</v>
      </c>
      <c r="N78" s="91">
        <f t="shared" si="50"/>
        <v>25264075</v>
      </c>
      <c r="O78" s="91">
        <f t="shared" si="50"/>
        <v>26227516</v>
      </c>
      <c r="P78" s="91">
        <f t="shared" si="46"/>
        <v>284078401.5</v>
      </c>
      <c r="Q78" s="76"/>
      <c r="R78" s="1"/>
    </row>
    <row r="79" spans="1:18" ht="15.75">
      <c r="A79" s="5"/>
      <c r="B79" s="170"/>
      <c r="C79" s="171"/>
      <c r="D79" s="183">
        <f>6105313+83771868-71834743+7114770</f>
        <v>25157208</v>
      </c>
      <c r="E79" s="184">
        <f>4629709+81208734-70670734+6575631</f>
        <v>21743340</v>
      </c>
      <c r="F79" s="184">
        <f>5147616+81720410+5353277-70642910</f>
        <v>21578393</v>
      </c>
      <c r="G79" s="184">
        <f>6022995+58798614+5905870-40368114</f>
        <v>30359365</v>
      </c>
      <c r="H79" s="184">
        <f>49355839-10539339-30000000+6121392</f>
        <v>14937892</v>
      </c>
      <c r="I79" s="184"/>
      <c r="J79" s="184"/>
      <c r="K79" s="184"/>
      <c r="L79" s="184"/>
      <c r="M79" s="184"/>
      <c r="N79" s="184"/>
      <c r="O79" s="184"/>
      <c r="P79" s="185"/>
      <c r="Q79" s="4"/>
      <c r="R79" s="1"/>
    </row>
    <row r="80" spans="1:18" ht="15.75">
      <c r="A80" s="5"/>
      <c r="B80" s="7" t="s">
        <v>37</v>
      </c>
      <c r="C80" s="165"/>
      <c r="D80" s="174">
        <f t="shared" ref="D80:O80" si="51">D66+D72+D78</f>
        <v>144169500</v>
      </c>
      <c r="E80" s="24">
        <f t="shared" si="51"/>
        <v>138257319</v>
      </c>
      <c r="F80" s="24">
        <f t="shared" si="51"/>
        <v>143647401</v>
      </c>
      <c r="G80" s="24">
        <f t="shared" si="51"/>
        <v>103457172.5</v>
      </c>
      <c r="H80" s="24">
        <f t="shared" si="51"/>
        <v>107431109</v>
      </c>
      <c r="I80" s="24">
        <f t="shared" si="51"/>
        <v>114222750</v>
      </c>
      <c r="J80" s="24">
        <f t="shared" si="51"/>
        <v>119503877.5</v>
      </c>
      <c r="K80" s="24">
        <f t="shared" si="51"/>
        <v>121796915</v>
      </c>
      <c r="L80" s="24">
        <f t="shared" si="51"/>
        <v>120910500</v>
      </c>
      <c r="M80" s="24">
        <f t="shared" si="51"/>
        <v>126426932.5</v>
      </c>
      <c r="N80" s="24">
        <f t="shared" si="51"/>
        <v>125439875</v>
      </c>
      <c r="O80" s="24">
        <f t="shared" si="51"/>
        <v>131115540</v>
      </c>
      <c r="P80" s="25">
        <f>P60+P66+P72+P78</f>
        <v>3383373891.5</v>
      </c>
      <c r="Q80" s="4"/>
      <c r="R80" s="1"/>
    </row>
    <row r="81" spans="1:18" ht="16.5" thickBot="1">
      <c r="A81" s="5"/>
      <c r="B81" s="175"/>
      <c r="C81" s="176">
        <v>0.25</v>
      </c>
      <c r="D81" s="177">
        <f t="shared" ref="D81:O81" si="52">D80/D16</f>
        <v>0.37959320695102683</v>
      </c>
      <c r="E81" s="178">
        <f t="shared" si="52"/>
        <v>0.40540911458058432</v>
      </c>
      <c r="F81" s="178">
        <f t="shared" si="52"/>
        <v>0.38165889519109064</v>
      </c>
      <c r="G81" s="178">
        <f t="shared" si="52"/>
        <v>0.27579092125642113</v>
      </c>
      <c r="H81" s="178">
        <f t="shared" si="52"/>
        <v>0.26778272558773003</v>
      </c>
      <c r="I81" s="178">
        <f t="shared" si="52"/>
        <v>0.28597153372389966</v>
      </c>
      <c r="J81" s="178">
        <f t="shared" si="52"/>
        <v>0.28413646833871392</v>
      </c>
      <c r="K81" s="178">
        <f t="shared" si="52"/>
        <v>0.2830056495678594</v>
      </c>
      <c r="L81" s="178">
        <f t="shared" si="52"/>
        <v>0.28247476871320437</v>
      </c>
      <c r="M81" s="178">
        <f t="shared" si="52"/>
        <v>0.2808846971779323</v>
      </c>
      <c r="N81" s="178">
        <f t="shared" si="52"/>
        <v>0.28038149042222671</v>
      </c>
      <c r="O81" s="178">
        <f t="shared" si="52"/>
        <v>0.27893410021546222</v>
      </c>
      <c r="P81" s="176"/>
      <c r="Q81" s="4"/>
      <c r="R81" s="1"/>
    </row>
    <row r="82" spans="1:18" ht="16.5" thickTop="1">
      <c r="A82" s="5"/>
      <c r="B82" s="157"/>
      <c r="C82" s="158"/>
      <c r="D82" s="159">
        <v>155188146</v>
      </c>
      <c r="E82" s="160">
        <v>150634454</v>
      </c>
      <c r="F82" s="160">
        <v>142055203</v>
      </c>
      <c r="G82" s="160">
        <v>110057360</v>
      </c>
      <c r="H82" s="160">
        <f>H67+H73+H79</f>
        <v>92934747</v>
      </c>
      <c r="I82" s="160">
        <v>0</v>
      </c>
      <c r="J82" s="160">
        <v>0</v>
      </c>
      <c r="K82" s="160">
        <v>0</v>
      </c>
      <c r="L82" s="160">
        <v>0</v>
      </c>
      <c r="M82" s="160">
        <v>0</v>
      </c>
      <c r="N82" s="160">
        <v>0</v>
      </c>
      <c r="O82" s="160">
        <v>0</v>
      </c>
      <c r="P82" s="161">
        <f>SUM(D82:O82)</f>
        <v>650869910</v>
      </c>
      <c r="Q82" s="4"/>
      <c r="R82" s="1"/>
    </row>
    <row r="83" spans="1:18" ht="16.5" thickBot="1">
      <c r="A83" s="5"/>
      <c r="B83" s="156" t="s">
        <v>82</v>
      </c>
      <c r="C83" s="153">
        <v>0.09</v>
      </c>
      <c r="D83" s="154">
        <v>0</v>
      </c>
      <c r="E83" s="155">
        <v>0</v>
      </c>
      <c r="F83" s="155">
        <v>0</v>
      </c>
      <c r="G83" s="155">
        <v>0</v>
      </c>
      <c r="H83" s="155">
        <v>0</v>
      </c>
      <c r="I83" s="155">
        <v>0</v>
      </c>
      <c r="J83" s="155">
        <v>0</v>
      </c>
      <c r="K83" s="155">
        <v>0</v>
      </c>
      <c r="L83" s="155">
        <f>-L15*0.5</f>
        <v>23780000</v>
      </c>
      <c r="M83" s="155">
        <f t="shared" ref="M83:O83" si="53">-M15*0.5</f>
        <v>25005700</v>
      </c>
      <c r="N83" s="155">
        <f t="shared" si="53"/>
        <v>24855000</v>
      </c>
      <c r="O83" s="155">
        <f t="shared" si="53"/>
        <v>26114400</v>
      </c>
      <c r="P83" s="17">
        <f t="shared" ref="P83:P84" si="54">SUM(D83:O83)</f>
        <v>99755100</v>
      </c>
      <c r="Q83" s="4"/>
      <c r="R83" s="1"/>
    </row>
    <row r="84" spans="1:18" ht="16.5" thickTop="1">
      <c r="A84" s="5"/>
      <c r="B84" s="48" t="s">
        <v>34</v>
      </c>
      <c r="C84" s="36"/>
      <c r="D84" s="37">
        <f t="shared" ref="D84:O84" si="55">(D38+D83)-(D80+D60)</f>
        <v>-129888500</v>
      </c>
      <c r="E84" s="37">
        <f t="shared" si="55"/>
        <v>-149951147</v>
      </c>
      <c r="F84" s="37">
        <f t="shared" si="55"/>
        <v>-119560213</v>
      </c>
      <c r="G84" s="37">
        <f t="shared" si="55"/>
        <v>-43905742.5</v>
      </c>
      <c r="H84" s="37">
        <f t="shared" si="55"/>
        <v>434582.9999999702</v>
      </c>
      <c r="I84" s="37">
        <f t="shared" si="55"/>
        <v>-886350</v>
      </c>
      <c r="J84" s="37">
        <f t="shared" si="55"/>
        <v>31608876.5</v>
      </c>
      <c r="K84" s="37">
        <f t="shared" si="55"/>
        <v>35870449</v>
      </c>
      <c r="L84" s="37">
        <f t="shared" si="55"/>
        <v>82571300</v>
      </c>
      <c r="M84" s="37">
        <f t="shared" si="55"/>
        <v>99112509.5</v>
      </c>
      <c r="N84" s="37">
        <f t="shared" si="55"/>
        <v>98131425</v>
      </c>
      <c r="O84" s="37">
        <f t="shared" si="55"/>
        <v>108903524</v>
      </c>
      <c r="P84" s="17">
        <f t="shared" si="54"/>
        <v>12440714.5</v>
      </c>
      <c r="Q84" s="97"/>
      <c r="R84" s="1"/>
    </row>
    <row r="85" spans="1:18" ht="16.5" thickBot="1">
      <c r="A85" s="5"/>
      <c r="B85" s="49" t="s">
        <v>35</v>
      </c>
      <c r="C85" s="40">
        <f>(C39+C83)-(C61+C81)</f>
        <v>0.28999999999999992</v>
      </c>
      <c r="D85" s="40">
        <f t="shared" ref="D85:P85" si="56">D84/D16</f>
        <v>-0.34199183780937337</v>
      </c>
      <c r="E85" s="40">
        <f t="shared" si="56"/>
        <v>-0.43969868774623816</v>
      </c>
      <c r="F85" s="40">
        <f t="shared" si="56"/>
        <v>-0.31766129066540832</v>
      </c>
      <c r="G85" s="40">
        <f t="shared" si="56"/>
        <v>-0.1170417176491287</v>
      </c>
      <c r="H85" s="40">
        <f t="shared" si="56"/>
        <v>1.0832413564127361E-3</v>
      </c>
      <c r="I85" s="40">
        <f t="shared" si="56"/>
        <v>-2.2190926843923689E-3</v>
      </c>
      <c r="J85" s="40">
        <f t="shared" si="56"/>
        <v>7.5154335781820708E-2</v>
      </c>
      <c r="K85" s="40">
        <f t="shared" si="56"/>
        <v>8.3348085783090428E-2</v>
      </c>
      <c r="L85" s="40">
        <f t="shared" si="56"/>
        <v>0.19290556957293711</v>
      </c>
      <c r="M85" s="40">
        <f t="shared" si="56"/>
        <v>0.22019981555316498</v>
      </c>
      <c r="N85" s="40">
        <f t="shared" si="56"/>
        <v>0.21934201703211964</v>
      </c>
      <c r="O85" s="40">
        <f t="shared" si="56"/>
        <v>0.23168044365475668</v>
      </c>
      <c r="P85" s="40">
        <f t="shared" si="56"/>
        <v>2.5288617210419985E-3</v>
      </c>
      <c r="Q85" s="4"/>
      <c r="R85" s="1"/>
    </row>
    <row r="86" spans="1:18" ht="17.25" thickTop="1" thickBot="1">
      <c r="A86" s="5"/>
      <c r="B86" s="105"/>
      <c r="C86" s="85"/>
      <c r="D86" s="116">
        <f t="shared" ref="D86:O86" si="57">D40-(D62+D82)</f>
        <v>-175911139</v>
      </c>
      <c r="E86" s="116">
        <f t="shared" si="57"/>
        <v>-204290218</v>
      </c>
      <c r="F86" s="116">
        <f t="shared" si="57"/>
        <v>-144159706</v>
      </c>
      <c r="G86" s="116">
        <f t="shared" si="57"/>
        <v>-39559180</v>
      </c>
      <c r="H86" s="116">
        <f t="shared" si="57"/>
        <v>-34294535</v>
      </c>
      <c r="I86" s="116">
        <f t="shared" si="57"/>
        <v>0</v>
      </c>
      <c r="J86" s="116">
        <f t="shared" si="57"/>
        <v>0</v>
      </c>
      <c r="K86" s="116">
        <f t="shared" si="57"/>
        <v>0</v>
      </c>
      <c r="L86" s="116">
        <f t="shared" si="57"/>
        <v>0</v>
      </c>
      <c r="M86" s="116">
        <f t="shared" si="57"/>
        <v>0</v>
      </c>
      <c r="N86" s="116">
        <f t="shared" si="57"/>
        <v>0</v>
      </c>
      <c r="O86" s="116">
        <f t="shared" si="57"/>
        <v>0</v>
      </c>
      <c r="P86" s="116">
        <f>SUM(D86:O86)</f>
        <v>-598214778</v>
      </c>
      <c r="Q86" s="4"/>
      <c r="R86" s="1"/>
    </row>
    <row r="87" spans="1:18" ht="16.5" thickTop="1">
      <c r="A87" s="5"/>
      <c r="B87" s="88"/>
      <c r="C87" s="89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1"/>
      <c r="P87" s="96"/>
      <c r="Q87" s="76"/>
      <c r="R87" s="1"/>
    </row>
    <row r="88" spans="1:18" ht="15.75">
      <c r="A88" s="92"/>
      <c r="B88" s="122"/>
      <c r="C88" s="123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</row>
    <row r="89" spans="1:18" ht="15.75">
      <c r="A89" s="92"/>
      <c r="B89" s="136" t="s">
        <v>69</v>
      </c>
      <c r="C89" s="137"/>
      <c r="D89" s="138" t="str">
        <f t="shared" ref="D89:O89" si="58">D4</f>
        <v>January</v>
      </c>
      <c r="E89" s="138" t="str">
        <f t="shared" si="58"/>
        <v>February</v>
      </c>
      <c r="F89" s="138" t="str">
        <f t="shared" si="58"/>
        <v>March</v>
      </c>
      <c r="G89" s="138" t="str">
        <f t="shared" si="58"/>
        <v>April</v>
      </c>
      <c r="H89" s="138" t="str">
        <f t="shared" si="58"/>
        <v>May</v>
      </c>
      <c r="I89" s="138" t="str">
        <f t="shared" si="58"/>
        <v>June</v>
      </c>
      <c r="J89" s="138" t="str">
        <f t="shared" si="58"/>
        <v>July</v>
      </c>
      <c r="K89" s="138" t="str">
        <f t="shared" si="58"/>
        <v>August</v>
      </c>
      <c r="L89" s="138" t="str">
        <f t="shared" si="58"/>
        <v>September</v>
      </c>
      <c r="M89" s="138" t="str">
        <f t="shared" si="58"/>
        <v>October</v>
      </c>
      <c r="N89" s="138" t="str">
        <f t="shared" si="58"/>
        <v>November</v>
      </c>
      <c r="O89" s="138" t="str">
        <f t="shared" si="58"/>
        <v>December</v>
      </c>
      <c r="P89" s="126"/>
    </row>
    <row r="90" spans="1:18" ht="15.75">
      <c r="A90" s="92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32"/>
      <c r="P90" s="126"/>
    </row>
    <row r="91" spans="1:18" ht="15.75">
      <c r="A91" s="92"/>
      <c r="B91" s="127" t="s">
        <v>70</v>
      </c>
      <c r="C91" s="129"/>
      <c r="D91" s="131">
        <f t="shared" ref="D91:O91" si="59">D80+D60</f>
        <v>384354500</v>
      </c>
      <c r="E91" s="131">
        <f t="shared" si="59"/>
        <v>378442319</v>
      </c>
      <c r="F91" s="131">
        <f t="shared" si="59"/>
        <v>371732401</v>
      </c>
      <c r="G91" s="131">
        <f t="shared" si="59"/>
        <v>295242172.5</v>
      </c>
      <c r="H91" s="131">
        <f t="shared" si="59"/>
        <v>268361109.00000003</v>
      </c>
      <c r="I91" s="131">
        <f t="shared" si="59"/>
        <v>268497750</v>
      </c>
      <c r="J91" s="131">
        <f t="shared" si="59"/>
        <v>250183877.5</v>
      </c>
      <c r="K91" s="131">
        <f t="shared" si="59"/>
        <v>252476915</v>
      </c>
      <c r="L91" s="131">
        <f t="shared" si="59"/>
        <v>227995500</v>
      </c>
      <c r="M91" s="131">
        <f t="shared" si="59"/>
        <v>227461932.5</v>
      </c>
      <c r="N91" s="131">
        <f t="shared" si="59"/>
        <v>226474875</v>
      </c>
      <c r="O91" s="133">
        <f t="shared" si="59"/>
        <v>232150540</v>
      </c>
      <c r="P91" s="126"/>
    </row>
    <row r="92" spans="1:18">
      <c r="B92" s="142" t="s">
        <v>72</v>
      </c>
      <c r="C92" s="142"/>
      <c r="D92" s="143">
        <f t="shared" ref="D92:O92" si="60">D36</f>
        <v>125334000</v>
      </c>
      <c r="E92" s="143">
        <f t="shared" si="60"/>
        <v>112540428.00000001</v>
      </c>
      <c r="F92" s="143">
        <f t="shared" si="60"/>
        <v>124204212</v>
      </c>
      <c r="G92" s="143">
        <f t="shared" si="60"/>
        <v>123792570</v>
      </c>
      <c r="H92" s="143">
        <f t="shared" si="60"/>
        <v>132391908.00000001</v>
      </c>
      <c r="I92" s="143">
        <f t="shared" si="60"/>
        <v>131808600</v>
      </c>
      <c r="J92" s="143">
        <f t="shared" si="60"/>
        <v>138793446</v>
      </c>
      <c r="K92" s="143">
        <f t="shared" si="60"/>
        <v>142021836</v>
      </c>
      <c r="L92" s="143">
        <f t="shared" si="60"/>
        <v>141253200</v>
      </c>
      <c r="M92" s="143">
        <f t="shared" si="60"/>
        <v>148533858</v>
      </c>
      <c r="N92" s="143">
        <f t="shared" si="60"/>
        <v>147638700</v>
      </c>
      <c r="O92" s="162">
        <f t="shared" si="60"/>
        <v>155119536</v>
      </c>
      <c r="P92" s="126"/>
    </row>
    <row r="93" spans="1:18">
      <c r="B93" s="139" t="s">
        <v>74</v>
      </c>
      <c r="C93" s="139"/>
      <c r="D93" s="140">
        <f t="shared" ref="D93:O93" si="61">((D92/0.69)+D91)*1.21</f>
        <v>684857553.69565225</v>
      </c>
      <c r="E93" s="140">
        <f t="shared" si="61"/>
        <v>655268710.16391313</v>
      </c>
      <c r="F93" s="140">
        <f t="shared" si="61"/>
        <v>667603591.47086954</v>
      </c>
      <c r="G93" s="140">
        <f t="shared" si="61"/>
        <v>574328550.02934778</v>
      </c>
      <c r="H93" s="140">
        <f t="shared" si="61"/>
        <v>556882461.71608698</v>
      </c>
      <c r="I93" s="140">
        <f t="shared" si="61"/>
        <v>556024894.89130437</v>
      </c>
      <c r="J93" s="140">
        <f t="shared" si="61"/>
        <v>546113897.07934785</v>
      </c>
      <c r="K93" s="140">
        <f t="shared" si="61"/>
        <v>554549852.01956522</v>
      </c>
      <c r="L93" s="140">
        <f t="shared" si="61"/>
        <v>523579441.95652169</v>
      </c>
      <c r="M93" s="140">
        <f t="shared" si="61"/>
        <v>535701355.97717392</v>
      </c>
      <c r="N93" s="140">
        <f t="shared" si="61"/>
        <v>532937246.57608694</v>
      </c>
      <c r="O93" s="140">
        <f t="shared" si="61"/>
        <v>552923368.70434785</v>
      </c>
      <c r="P93" s="126"/>
    </row>
    <row r="94" spans="1:18">
      <c r="B94" s="139" t="s">
        <v>75</v>
      </c>
      <c r="C94" s="139"/>
      <c r="D94" s="140">
        <f t="shared" ref="D94:O94" si="62">D93/D5</f>
        <v>22092179.151472654</v>
      </c>
      <c r="E94" s="140">
        <f t="shared" si="62"/>
        <v>22595472.764272865</v>
      </c>
      <c r="F94" s="140">
        <f t="shared" si="62"/>
        <v>21535599.724866759</v>
      </c>
      <c r="G94" s="140">
        <f t="shared" si="62"/>
        <v>19144285.000978258</v>
      </c>
      <c r="H94" s="140">
        <f t="shared" si="62"/>
        <v>17963950.377938289</v>
      </c>
      <c r="I94" s="140">
        <f t="shared" si="62"/>
        <v>18534163.16304348</v>
      </c>
      <c r="J94" s="140">
        <f t="shared" si="62"/>
        <v>17616577.325140253</v>
      </c>
      <c r="K94" s="140">
        <f t="shared" si="62"/>
        <v>17888704.903856944</v>
      </c>
      <c r="L94" s="140">
        <f t="shared" si="62"/>
        <v>17452648.065217391</v>
      </c>
      <c r="M94" s="140">
        <f t="shared" si="62"/>
        <v>17280688.90248948</v>
      </c>
      <c r="N94" s="140">
        <f t="shared" si="62"/>
        <v>17764574.885869566</v>
      </c>
      <c r="O94" s="141">
        <f t="shared" si="62"/>
        <v>17836237.700140253</v>
      </c>
      <c r="P94" s="126"/>
    </row>
    <row r="95" spans="1:18" ht="15.75" customHeight="1">
      <c r="B95" s="135" t="s">
        <v>76</v>
      </c>
      <c r="C95" s="144"/>
      <c r="D95" s="145">
        <f>D20</f>
        <v>14824451.612903226</v>
      </c>
      <c r="E95" s="145">
        <f t="shared" ref="E95:O95" si="63">E20</f>
        <v>14229249.517241379</v>
      </c>
      <c r="F95" s="145">
        <f t="shared" si="63"/>
        <v>14690820.774193548</v>
      </c>
      <c r="G95" s="145">
        <f t="shared" si="63"/>
        <v>15130203</v>
      </c>
      <c r="H95" s="145">
        <f t="shared" si="63"/>
        <v>15659257.935483871</v>
      </c>
      <c r="I95" s="145">
        <f t="shared" si="63"/>
        <v>16109940</v>
      </c>
      <c r="J95" s="145">
        <f t="shared" si="63"/>
        <v>16416429.096774194</v>
      </c>
      <c r="K95" s="145">
        <f t="shared" si="63"/>
        <v>16798281.677419353</v>
      </c>
      <c r="L95" s="145">
        <f t="shared" si="63"/>
        <v>17264280</v>
      </c>
      <c r="M95" s="145">
        <f t="shared" si="63"/>
        <v>17568520.838709679</v>
      </c>
      <c r="N95" s="145">
        <f t="shared" si="63"/>
        <v>18044730</v>
      </c>
      <c r="O95" s="146">
        <f t="shared" si="63"/>
        <v>18347472</v>
      </c>
      <c r="P95" s="126"/>
    </row>
    <row r="96" spans="1:18">
      <c r="B96" s="147" t="s">
        <v>79</v>
      </c>
      <c r="C96" s="148"/>
      <c r="D96" s="149">
        <f>D21</f>
        <v>14381561.483870968</v>
      </c>
      <c r="E96" s="149">
        <f t="shared" ref="E96:O96" si="64">E21</f>
        <v>12123345.310344828</v>
      </c>
      <c r="F96" s="149">
        <f t="shared" si="64"/>
        <v>12212363.64516129</v>
      </c>
      <c r="G96" s="149">
        <f t="shared" si="64"/>
        <v>14043255.266666668</v>
      </c>
      <c r="H96" s="149">
        <f t="shared" si="64"/>
        <v>14762830.35483871</v>
      </c>
      <c r="I96" s="149">
        <f t="shared" si="64"/>
        <v>0</v>
      </c>
      <c r="J96" s="149">
        <f t="shared" si="64"/>
        <v>0</v>
      </c>
      <c r="K96" s="149">
        <f t="shared" si="64"/>
        <v>0</v>
      </c>
      <c r="L96" s="149">
        <f t="shared" si="64"/>
        <v>0</v>
      </c>
      <c r="M96" s="149">
        <f t="shared" si="64"/>
        <v>0</v>
      </c>
      <c r="N96" s="149">
        <f t="shared" si="64"/>
        <v>0</v>
      </c>
      <c r="O96" s="150">
        <f t="shared" si="64"/>
        <v>0</v>
      </c>
      <c r="P96" s="126"/>
    </row>
    <row r="97" spans="2:16">
      <c r="B97" s="128"/>
      <c r="C97" s="130"/>
      <c r="D97" s="130"/>
      <c r="E97" s="130"/>
      <c r="F97" s="125"/>
      <c r="G97" s="130"/>
      <c r="H97" s="130"/>
      <c r="I97" s="130"/>
      <c r="J97" s="128"/>
      <c r="K97" s="128"/>
      <c r="L97" s="128"/>
      <c r="M97" s="128"/>
      <c r="N97" s="128"/>
      <c r="O97" s="134"/>
      <c r="P97" s="126"/>
    </row>
    <row r="98" spans="2:16">
      <c r="E98" s="94"/>
      <c r="F98" s="94"/>
      <c r="G98" s="94"/>
      <c r="H98" s="94"/>
      <c r="I98" s="94"/>
    </row>
    <row r="99" spans="2:16">
      <c r="C99" s="95"/>
      <c r="D99" s="95"/>
      <c r="E99" s="95"/>
      <c r="F99" s="95"/>
      <c r="G99" s="95"/>
      <c r="H99" s="95"/>
      <c r="I99" s="95"/>
    </row>
    <row r="100" spans="2:16">
      <c r="I100" s="94"/>
    </row>
    <row r="101" spans="2:16">
      <c r="B101" s="93"/>
      <c r="I101" s="94"/>
    </row>
    <row r="102" spans="2:16">
      <c r="H102">
        <v>312530346</v>
      </c>
    </row>
    <row r="103" spans="2:16">
      <c r="H103">
        <v>21</v>
      </c>
    </row>
    <row r="104" spans="2:16">
      <c r="H104">
        <f>H102/H103</f>
        <v>14882397.428571429</v>
      </c>
    </row>
    <row r="165" spans="1:15" ht="15.75">
      <c r="A165" s="12"/>
      <c r="B165" s="98"/>
      <c r="C165" s="56"/>
      <c r="D165" s="45"/>
      <c r="E165" s="45"/>
      <c r="F165" s="45"/>
      <c r="G165" s="45"/>
      <c r="H165" s="45"/>
      <c r="I165" s="45"/>
      <c r="J165" s="45"/>
      <c r="K165" s="45"/>
      <c r="L165" s="45"/>
      <c r="M165" s="45"/>
    </row>
    <row r="166" spans="1:15" ht="15.75">
      <c r="A166" s="50"/>
      <c r="B166" s="98"/>
      <c r="C166" s="56"/>
      <c r="D166" s="83"/>
      <c r="E166" s="83"/>
      <c r="F166" s="83"/>
      <c r="G166" s="83"/>
      <c r="H166" s="83"/>
      <c r="I166" s="83"/>
      <c r="J166" s="83"/>
      <c r="K166" s="83"/>
      <c r="L166" s="83"/>
      <c r="M166" s="83"/>
    </row>
    <row r="167" spans="1:15" ht="15.75">
      <c r="A167" s="50"/>
      <c r="B167" s="100"/>
      <c r="C167" s="56"/>
      <c r="D167" s="45"/>
      <c r="E167" s="45"/>
      <c r="F167" s="45"/>
      <c r="G167" s="45"/>
      <c r="H167" s="45"/>
      <c r="I167" s="45"/>
      <c r="J167" s="45"/>
      <c r="K167" s="45"/>
      <c r="L167" s="45"/>
      <c r="M167" s="45"/>
    </row>
    <row r="168" spans="1:15" ht="15.75">
      <c r="A168" s="50"/>
      <c r="B168" s="98"/>
      <c r="C168" s="56"/>
      <c r="D168" s="45"/>
      <c r="E168" s="45"/>
      <c r="F168" s="45"/>
      <c r="G168" s="45"/>
      <c r="H168" s="45"/>
      <c r="I168" s="45"/>
      <c r="J168" s="45"/>
      <c r="K168" s="45"/>
      <c r="L168" s="45"/>
      <c r="M168" s="45"/>
    </row>
    <row r="169" spans="1:15" ht="15.75">
      <c r="A169" s="50"/>
      <c r="B169" s="98"/>
      <c r="C169" s="56"/>
      <c r="D169" s="45"/>
      <c r="E169" s="45"/>
      <c r="F169" s="45"/>
      <c r="G169" s="45"/>
      <c r="H169" s="45"/>
      <c r="I169" s="45"/>
      <c r="J169" s="45"/>
      <c r="K169" s="45"/>
      <c r="L169" s="45"/>
      <c r="M169" s="45"/>
    </row>
    <row r="170" spans="1:15" ht="15.75">
      <c r="A170" s="50"/>
      <c r="B170" s="98"/>
      <c r="C170" s="56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99"/>
    </row>
    <row r="171" spans="1:15" ht="15.75">
      <c r="A171" s="50"/>
      <c r="B171" s="98"/>
      <c r="C171" s="56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99"/>
    </row>
    <row r="172" spans="1:15" ht="15.75">
      <c r="A172" s="50"/>
      <c r="N172" s="45"/>
      <c r="O172" s="99"/>
    </row>
    <row r="173" spans="1:15" ht="15.75">
      <c r="A173" s="50"/>
      <c r="N173" s="45"/>
      <c r="O173" s="99"/>
    </row>
    <row r="174" spans="1:15" ht="15.75">
      <c r="A174" s="50"/>
    </row>
    <row r="175" spans="1:15" ht="15.75">
      <c r="A175" s="50"/>
    </row>
    <row r="176" spans="1:15" ht="15.75">
      <c r="A176" s="50"/>
    </row>
    <row r="177" spans="1:1" ht="15.75">
      <c r="A177" s="50"/>
    </row>
    <row r="178" spans="1:1" ht="15.75">
      <c r="A178" s="50"/>
    </row>
    <row r="179" spans="1:1" ht="15.75">
      <c r="A179" s="50"/>
    </row>
    <row r="180" spans="1:1" ht="15.75">
      <c r="A180" s="50"/>
    </row>
    <row r="181" spans="1:1" ht="15.75">
      <c r="A181" s="50"/>
    </row>
    <row r="182" spans="1:1" ht="15.75">
      <c r="A182" s="50"/>
    </row>
    <row r="183" spans="1:1" ht="15.75">
      <c r="A183" s="50"/>
    </row>
    <row r="184" spans="1:1" ht="15.75">
      <c r="A184" s="50"/>
    </row>
    <row r="185" spans="1:1" ht="15.75">
      <c r="A185" s="50"/>
    </row>
    <row r="186" spans="1:1" ht="15.75">
      <c r="A186" s="50"/>
    </row>
    <row r="187" spans="1:1" ht="15.75">
      <c r="A187" s="50"/>
    </row>
    <row r="188" spans="1:1" ht="15.75">
      <c r="A188" s="50"/>
    </row>
    <row r="189" spans="1:1" ht="15.75">
      <c r="A189" s="50"/>
    </row>
    <row r="190" spans="1:1" ht="15.75">
      <c r="A190" s="50"/>
    </row>
    <row r="191" spans="1:1" ht="15.75">
      <c r="A191" s="5"/>
    </row>
    <row r="192" spans="1:1" ht="15.75">
      <c r="A192" s="5"/>
    </row>
    <row r="193" spans="1:1" ht="15.75">
      <c r="A193" s="5"/>
    </row>
    <row r="194" spans="1:1" ht="15.75">
      <c r="A194" s="50"/>
    </row>
    <row r="195" spans="1:1" ht="15.75">
      <c r="A195" s="50"/>
    </row>
    <row r="196" spans="1:1" ht="15.75">
      <c r="A196" s="50"/>
    </row>
    <row r="197" spans="1:1" ht="15.75">
      <c r="A197" s="50"/>
    </row>
    <row r="198" spans="1:1" ht="15.75">
      <c r="A198" s="50"/>
    </row>
    <row r="199" spans="1:1" ht="15.75">
      <c r="A199" s="50"/>
    </row>
    <row r="200" spans="1:1" ht="15.75">
      <c r="A200" s="50"/>
    </row>
    <row r="201" spans="1:1" ht="15.75">
      <c r="A201" s="50"/>
    </row>
    <row r="202" spans="1:1" ht="15.75">
      <c r="A202" s="50"/>
    </row>
    <row r="203" spans="1:1" ht="15.75">
      <c r="A203" s="50"/>
    </row>
    <row r="204" spans="1:1" ht="15.75">
      <c r="A204" s="50"/>
    </row>
    <row r="205" spans="1:1" ht="15.75">
      <c r="A205" s="50"/>
    </row>
    <row r="206" spans="1:1" ht="15.75">
      <c r="A206" s="50"/>
    </row>
    <row r="207" spans="1:1" ht="15.75">
      <c r="A207" s="50"/>
    </row>
    <row r="208" spans="1:1" ht="15.75">
      <c r="A208" s="50"/>
    </row>
    <row r="209" spans="1:15" ht="15.75">
      <c r="A209" s="50"/>
    </row>
    <row r="210" spans="1:15" ht="15.75">
      <c r="A210" s="50"/>
    </row>
    <row r="211" spans="1:15" ht="15.75">
      <c r="A211" s="50"/>
    </row>
    <row r="212" spans="1:15" ht="15.75">
      <c r="A212" s="50"/>
    </row>
    <row r="213" spans="1:15" ht="15.75">
      <c r="A213" s="50"/>
    </row>
    <row r="214" spans="1:15" ht="15.75">
      <c r="A214" s="50"/>
    </row>
    <row r="215" spans="1:15" ht="15.75">
      <c r="A215" s="12"/>
      <c r="B215" s="6"/>
      <c r="C215" s="12"/>
      <c r="D215" s="11"/>
      <c r="E215" s="12"/>
      <c r="F215" s="12"/>
      <c r="G215" s="12"/>
      <c r="H215" s="12"/>
      <c r="I215" s="67"/>
      <c r="J215" s="12"/>
      <c r="K215" s="12"/>
      <c r="L215" s="12"/>
      <c r="M215" s="68"/>
    </row>
    <row r="216" spans="1:15">
      <c r="A216" s="3"/>
    </row>
    <row r="217" spans="1:15" ht="15.75">
      <c r="A217" s="5"/>
      <c r="N217" s="12"/>
      <c r="O217" s="68"/>
    </row>
    <row r="218" spans="1:15" ht="15.75">
      <c r="A218" s="5"/>
    </row>
    <row r="219" spans="1:15" ht="15.75">
      <c r="A219" s="5"/>
    </row>
    <row r="220" spans="1:15" ht="15.75">
      <c r="A220" s="5"/>
    </row>
    <row r="221" spans="1:15" ht="15.75">
      <c r="A221" s="5"/>
    </row>
    <row r="222" spans="1:15">
      <c r="A222" s="2"/>
    </row>
  </sheetData>
  <pageMargins left="0.25" right="0.25" top="0.75" bottom="0.75" header="0.3" footer="0.3"/>
  <pageSetup paperSize="9" scale="47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699D-0EAF-4B5D-B537-D7D1E35DE575}">
  <dimension ref="A2:Q78"/>
  <sheetViews>
    <sheetView topLeftCell="A25" workbookViewId="0">
      <selection activeCell="D39" sqref="D39"/>
    </sheetView>
  </sheetViews>
  <sheetFormatPr defaultRowHeight="12.75"/>
  <cols>
    <col min="1" max="1" width="2.42578125" customWidth="1"/>
    <col min="2" max="2" width="43.42578125" customWidth="1"/>
    <col min="3" max="3" width="14" customWidth="1"/>
    <col min="4" max="5" width="16" customWidth="1"/>
    <col min="6" max="6" width="16.5703125" customWidth="1"/>
    <col min="7" max="7" width="16.28515625" customWidth="1"/>
    <col min="8" max="9" width="15.85546875" customWidth="1"/>
    <col min="10" max="10" width="15.140625" customWidth="1"/>
    <col min="11" max="11" width="15" customWidth="1"/>
    <col min="12" max="12" width="15.7109375" customWidth="1"/>
    <col min="13" max="13" width="15.28515625" customWidth="1"/>
    <col min="14" max="14" width="15.42578125" customWidth="1"/>
    <col min="15" max="15" width="15.5703125" customWidth="1"/>
    <col min="16" max="16" width="16.140625" customWidth="1"/>
    <col min="17" max="17" width="3" customWidth="1"/>
  </cols>
  <sheetData>
    <row r="2" spans="1:17" ht="15.75" customHeight="1">
      <c r="A2" s="57"/>
      <c r="B2" s="69" t="s">
        <v>54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7" ht="15.75">
      <c r="A3" s="5"/>
      <c r="B3" s="6" t="s">
        <v>63</v>
      </c>
      <c r="C3" s="55"/>
      <c r="D3" s="11"/>
      <c r="E3" s="11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3"/>
    </row>
    <row r="4" spans="1:17" ht="15.75">
      <c r="A4" s="5"/>
      <c r="B4" s="6" t="s">
        <v>68</v>
      </c>
      <c r="C4" s="55"/>
      <c r="D4" s="11"/>
      <c r="E4" s="11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3"/>
    </row>
    <row r="5" spans="1:17" ht="15.75">
      <c r="A5" s="5"/>
      <c r="B5" s="7" t="s">
        <v>64</v>
      </c>
      <c r="C5" s="8" t="s">
        <v>10</v>
      </c>
      <c r="D5" s="9" t="s">
        <v>11</v>
      </c>
      <c r="E5" s="9" t="s">
        <v>0</v>
      </c>
      <c r="F5" s="9" t="s">
        <v>1</v>
      </c>
      <c r="G5" s="9" t="s">
        <v>2</v>
      </c>
      <c r="H5" s="9" t="s">
        <v>3</v>
      </c>
      <c r="I5" s="9" t="s">
        <v>4</v>
      </c>
      <c r="J5" s="9" t="s">
        <v>5</v>
      </c>
      <c r="K5" s="9" t="s">
        <v>6</v>
      </c>
      <c r="L5" s="9" t="s">
        <v>7</v>
      </c>
      <c r="M5" s="9" t="s">
        <v>8</v>
      </c>
      <c r="N5" s="9" t="s">
        <v>9</v>
      </c>
      <c r="O5" s="9" t="s">
        <v>12</v>
      </c>
      <c r="P5" s="9" t="s">
        <v>65</v>
      </c>
      <c r="Q5" s="4"/>
    </row>
    <row r="6" spans="1:17" ht="15.75">
      <c r="A6" s="5"/>
      <c r="B6" s="7"/>
      <c r="C6" s="74"/>
      <c r="D6" s="58">
        <v>31</v>
      </c>
      <c r="E6" s="117">
        <v>28</v>
      </c>
      <c r="F6" s="117">
        <v>31</v>
      </c>
      <c r="G6" s="117">
        <v>30</v>
      </c>
      <c r="H6" s="117">
        <v>31</v>
      </c>
      <c r="I6" s="117">
        <v>30</v>
      </c>
      <c r="J6" s="117">
        <v>31</v>
      </c>
      <c r="K6" s="117">
        <v>31</v>
      </c>
      <c r="L6" s="117">
        <v>30</v>
      </c>
      <c r="M6" s="117">
        <v>31</v>
      </c>
      <c r="N6" s="117">
        <v>30</v>
      </c>
      <c r="O6" s="117">
        <v>31</v>
      </c>
      <c r="P6" s="53">
        <f>SUM(D6:O6)</f>
        <v>365</v>
      </c>
      <c r="Q6" s="4"/>
    </row>
    <row r="7" spans="1:17" ht="15.75">
      <c r="A7" s="5"/>
      <c r="B7" s="64" t="s">
        <v>38</v>
      </c>
      <c r="C7" s="10"/>
      <c r="D7" s="11"/>
      <c r="E7" s="14"/>
      <c r="F7" s="14"/>
      <c r="G7" s="14"/>
      <c r="H7" s="14"/>
      <c r="I7" s="14"/>
      <c r="J7" s="14"/>
      <c r="K7" s="14"/>
      <c r="L7" s="52"/>
      <c r="M7" s="50"/>
      <c r="N7" s="54"/>
      <c r="O7" s="54"/>
      <c r="P7" s="54"/>
      <c r="Q7" s="4"/>
    </row>
    <row r="8" spans="1:17" ht="15.75">
      <c r="A8" s="5"/>
      <c r="B8" s="59" t="s">
        <v>13</v>
      </c>
      <c r="C8" s="13"/>
      <c r="D8" s="11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52"/>
      <c r="Q8" s="4"/>
    </row>
    <row r="9" spans="1:17" ht="15.75">
      <c r="A9" s="5"/>
      <c r="B9" s="60" t="s">
        <v>50</v>
      </c>
      <c r="C9" s="13"/>
      <c r="D9" s="11">
        <v>75</v>
      </c>
      <c r="E9" s="14">
        <v>72</v>
      </c>
      <c r="F9" s="14">
        <f t="shared" ref="F9:H9" si="0">E9+1</f>
        <v>73</v>
      </c>
      <c r="G9" s="14">
        <f t="shared" si="0"/>
        <v>74</v>
      </c>
      <c r="H9" s="14">
        <f t="shared" si="0"/>
        <v>75</v>
      </c>
      <c r="I9" s="14">
        <f>H9+2</f>
        <v>77</v>
      </c>
      <c r="J9" s="14">
        <f t="shared" ref="J9" si="1">I9+2</f>
        <v>79</v>
      </c>
      <c r="K9" s="14">
        <f>J9+1</f>
        <v>80</v>
      </c>
      <c r="L9" s="14">
        <f>K9+1</f>
        <v>81</v>
      </c>
      <c r="M9" s="14">
        <f t="shared" ref="M9:N9" si="2">L9+1</f>
        <v>82</v>
      </c>
      <c r="N9" s="14">
        <f t="shared" si="2"/>
        <v>83</v>
      </c>
      <c r="O9" s="14">
        <f>N9+2</f>
        <v>85</v>
      </c>
      <c r="P9" s="14">
        <f>SUM(D9:O9)/12</f>
        <v>78</v>
      </c>
      <c r="Q9" s="4"/>
    </row>
    <row r="10" spans="1:17" ht="15.75">
      <c r="A10" s="5"/>
      <c r="B10" s="60" t="s">
        <v>51</v>
      </c>
      <c r="C10" s="13"/>
      <c r="D10" s="11">
        <f>D6*D9</f>
        <v>2325</v>
      </c>
      <c r="E10" s="14">
        <f t="shared" ref="E10:O10" si="3">E6*E9</f>
        <v>2016</v>
      </c>
      <c r="F10" s="14">
        <f t="shared" si="3"/>
        <v>2263</v>
      </c>
      <c r="G10" s="14">
        <f t="shared" si="3"/>
        <v>2220</v>
      </c>
      <c r="H10" s="14">
        <f t="shared" si="3"/>
        <v>2325</v>
      </c>
      <c r="I10" s="14">
        <f t="shared" si="3"/>
        <v>2310</v>
      </c>
      <c r="J10" s="14">
        <f t="shared" si="3"/>
        <v>2449</v>
      </c>
      <c r="K10" s="14">
        <f t="shared" si="3"/>
        <v>2480</v>
      </c>
      <c r="L10" s="14">
        <f t="shared" si="3"/>
        <v>2430</v>
      </c>
      <c r="M10" s="14">
        <f t="shared" si="3"/>
        <v>2542</v>
      </c>
      <c r="N10" s="14">
        <f t="shared" si="3"/>
        <v>2490</v>
      </c>
      <c r="O10" s="14">
        <f t="shared" si="3"/>
        <v>2635</v>
      </c>
      <c r="P10" s="14">
        <f>SUM(D10:O10)</f>
        <v>28485</v>
      </c>
      <c r="Q10" s="4"/>
    </row>
    <row r="11" spans="1:17" ht="15.75">
      <c r="A11" s="5"/>
      <c r="B11" s="60" t="s">
        <v>56</v>
      </c>
      <c r="C11" s="13"/>
      <c r="D11" s="11">
        <v>210000</v>
      </c>
      <c r="E11" s="14">
        <f>D11+1000</f>
        <v>211000</v>
      </c>
      <c r="F11" s="14">
        <f t="shared" ref="F11:O11" si="4">E11+1000</f>
        <v>212000</v>
      </c>
      <c r="G11" s="14">
        <f t="shared" si="4"/>
        <v>213000</v>
      </c>
      <c r="H11" s="14">
        <f t="shared" si="4"/>
        <v>214000</v>
      </c>
      <c r="I11" s="14">
        <f t="shared" si="4"/>
        <v>215000</v>
      </c>
      <c r="J11" s="14">
        <f t="shared" si="4"/>
        <v>216000</v>
      </c>
      <c r="K11" s="14">
        <f t="shared" si="4"/>
        <v>217000</v>
      </c>
      <c r="L11" s="14">
        <f t="shared" si="4"/>
        <v>218000</v>
      </c>
      <c r="M11" s="14">
        <f t="shared" si="4"/>
        <v>219000</v>
      </c>
      <c r="N11" s="14">
        <f t="shared" si="4"/>
        <v>220000</v>
      </c>
      <c r="O11" s="14">
        <f t="shared" si="4"/>
        <v>221000</v>
      </c>
      <c r="P11" s="14">
        <f>SUM(D11:O11)/12</f>
        <v>215500</v>
      </c>
      <c r="Q11" s="4"/>
    </row>
    <row r="12" spans="1:17" ht="15.75">
      <c r="A12" s="5"/>
      <c r="B12" s="60" t="s">
        <v>55</v>
      </c>
      <c r="C12" s="13"/>
      <c r="D12" s="11">
        <f t="shared" ref="D12:P12" si="5">D21/D10</f>
        <v>263819.03225806454</v>
      </c>
      <c r="E12" s="14">
        <f t="shared" si="5"/>
        <v>271642.83928571426</v>
      </c>
      <c r="F12" s="14">
        <f t="shared" si="5"/>
        <v>269365.5695978789</v>
      </c>
      <c r="G12" s="14">
        <f t="shared" si="5"/>
        <v>272426.59459459462</v>
      </c>
      <c r="H12" s="14">
        <f t="shared" si="5"/>
        <v>272858.90322580643</v>
      </c>
      <c r="I12" s="14">
        <f t="shared" si="5"/>
        <v>275385</v>
      </c>
      <c r="J12" s="14">
        <f t="shared" si="5"/>
        <v>275244.41649652919</v>
      </c>
      <c r="K12" s="14">
        <f t="shared" si="5"/>
        <v>276930.94354838709</v>
      </c>
      <c r="L12" s="14">
        <f t="shared" si="5"/>
        <v>279976.0740740741</v>
      </c>
      <c r="M12" s="14">
        <f t="shared" si="5"/>
        <v>280260.27616050356</v>
      </c>
      <c r="N12" s="14">
        <f t="shared" si="5"/>
        <v>283314.93975903612</v>
      </c>
      <c r="O12" s="14">
        <f t="shared" si="5"/>
        <v>283030.48007590132</v>
      </c>
      <c r="P12" s="14">
        <f t="shared" si="5"/>
        <v>275610.81800947868</v>
      </c>
      <c r="Q12" s="4"/>
    </row>
    <row r="13" spans="1:17" ht="15.75">
      <c r="A13" s="5"/>
      <c r="B13" s="60" t="s">
        <v>48</v>
      </c>
      <c r="C13" s="13"/>
      <c r="D13" s="11">
        <f t="shared" ref="D13:O13" si="6">D10*D11*0.6</f>
        <v>292950000</v>
      </c>
      <c r="E13" s="14">
        <f t="shared" si="6"/>
        <v>255225600</v>
      </c>
      <c r="F13" s="14">
        <f t="shared" si="6"/>
        <v>287853600</v>
      </c>
      <c r="G13" s="14">
        <f t="shared" si="6"/>
        <v>283716000</v>
      </c>
      <c r="H13" s="14">
        <f t="shared" si="6"/>
        <v>298530000</v>
      </c>
      <c r="I13" s="14">
        <f t="shared" si="6"/>
        <v>297990000</v>
      </c>
      <c r="J13" s="14">
        <f t="shared" si="6"/>
        <v>317390400</v>
      </c>
      <c r="K13" s="14">
        <f t="shared" si="6"/>
        <v>322896000</v>
      </c>
      <c r="L13" s="14">
        <f t="shared" si="6"/>
        <v>317844000</v>
      </c>
      <c r="M13" s="14">
        <f t="shared" si="6"/>
        <v>334018800</v>
      </c>
      <c r="N13" s="14">
        <f t="shared" si="6"/>
        <v>328680000</v>
      </c>
      <c r="O13" s="14">
        <f t="shared" si="6"/>
        <v>349401000</v>
      </c>
      <c r="P13" s="14">
        <f>SUM(D13:O13)</f>
        <v>3686495400</v>
      </c>
      <c r="Q13" s="4"/>
    </row>
    <row r="14" spans="1:17" ht="15.75">
      <c r="A14" s="5"/>
      <c r="B14" s="60" t="s">
        <v>49</v>
      </c>
      <c r="C14" s="13"/>
      <c r="D14" s="11">
        <f t="shared" ref="D14:O14" si="7">D10*D11*0.4</f>
        <v>195300000</v>
      </c>
      <c r="E14" s="14">
        <f t="shared" si="7"/>
        <v>170150400</v>
      </c>
      <c r="F14" s="14">
        <f t="shared" si="7"/>
        <v>191902400</v>
      </c>
      <c r="G14" s="14">
        <f t="shared" si="7"/>
        <v>189144000</v>
      </c>
      <c r="H14" s="14">
        <f t="shared" si="7"/>
        <v>199020000</v>
      </c>
      <c r="I14" s="14">
        <f t="shared" si="7"/>
        <v>198660000</v>
      </c>
      <c r="J14" s="14">
        <f t="shared" si="7"/>
        <v>211593600</v>
      </c>
      <c r="K14" s="14">
        <f t="shared" si="7"/>
        <v>215264000</v>
      </c>
      <c r="L14" s="14">
        <f t="shared" si="7"/>
        <v>211896000</v>
      </c>
      <c r="M14" s="14">
        <f t="shared" si="7"/>
        <v>222679200</v>
      </c>
      <c r="N14" s="14">
        <f t="shared" si="7"/>
        <v>219120000</v>
      </c>
      <c r="O14" s="14">
        <f t="shared" si="7"/>
        <v>232934000</v>
      </c>
      <c r="P14" s="14">
        <f>SUM(D14:O14)</f>
        <v>2457663600</v>
      </c>
      <c r="Q14" s="4"/>
    </row>
    <row r="15" spans="1:17" ht="15.75">
      <c r="A15" s="5"/>
      <c r="B15" s="60" t="s">
        <v>89</v>
      </c>
      <c r="C15" s="11"/>
      <c r="D15" s="14">
        <v>75000000</v>
      </c>
      <c r="E15" s="14">
        <f>D15+2500000</f>
        <v>77500000</v>
      </c>
      <c r="F15" s="14">
        <f t="shared" ref="F15:O15" si="8">E15+2500000</f>
        <v>80000000</v>
      </c>
      <c r="G15" s="14">
        <f t="shared" si="8"/>
        <v>82500000</v>
      </c>
      <c r="H15" s="14">
        <f t="shared" si="8"/>
        <v>85000000</v>
      </c>
      <c r="I15" s="14">
        <f t="shared" si="8"/>
        <v>87500000</v>
      </c>
      <c r="J15" s="14">
        <f t="shared" si="8"/>
        <v>90000000</v>
      </c>
      <c r="K15" s="14">
        <f t="shared" si="8"/>
        <v>92500000</v>
      </c>
      <c r="L15" s="14">
        <f t="shared" si="8"/>
        <v>95000000</v>
      </c>
      <c r="M15" s="14">
        <f t="shared" si="8"/>
        <v>97500000</v>
      </c>
      <c r="N15" s="14">
        <f t="shared" si="8"/>
        <v>100000000</v>
      </c>
      <c r="O15" s="14">
        <f t="shared" si="8"/>
        <v>102500000</v>
      </c>
      <c r="P15" s="14">
        <f>SUM(D15:O15)</f>
        <v>1065000000</v>
      </c>
      <c r="Q15" s="4"/>
    </row>
    <row r="16" spans="1:17" ht="15.75">
      <c r="A16" s="5"/>
      <c r="B16" s="108" t="s">
        <v>85</v>
      </c>
      <c r="C16" s="114">
        <v>0.1</v>
      </c>
      <c r="D16" s="115">
        <f>-(D13+D14+D15)*$C$16</f>
        <v>-56325000</v>
      </c>
      <c r="E16" s="115">
        <f t="shared" ref="E16:O16" si="9">-(E13+E14+E15)*$C$16</f>
        <v>-50287600</v>
      </c>
      <c r="F16" s="115">
        <f t="shared" si="9"/>
        <v>-55975600</v>
      </c>
      <c r="G16" s="115">
        <f t="shared" si="9"/>
        <v>-55536000</v>
      </c>
      <c r="H16" s="115">
        <f t="shared" si="9"/>
        <v>-58255000</v>
      </c>
      <c r="I16" s="115">
        <f t="shared" si="9"/>
        <v>-58415000</v>
      </c>
      <c r="J16" s="115">
        <f t="shared" si="9"/>
        <v>-61898400</v>
      </c>
      <c r="K16" s="115">
        <f t="shared" si="9"/>
        <v>-63066000</v>
      </c>
      <c r="L16" s="115">
        <f t="shared" si="9"/>
        <v>-62474000</v>
      </c>
      <c r="M16" s="115">
        <f t="shared" si="9"/>
        <v>-65419800</v>
      </c>
      <c r="N16" s="115">
        <f t="shared" si="9"/>
        <v>-64780000</v>
      </c>
      <c r="O16" s="115">
        <f t="shared" si="9"/>
        <v>-68483500</v>
      </c>
      <c r="P16" s="109">
        <f>SUM(D16:O16)</f>
        <v>-720915900</v>
      </c>
      <c r="Q16" s="4"/>
    </row>
    <row r="17" spans="1:17" ht="16.5" thickBot="1">
      <c r="A17" s="5"/>
      <c r="B17" s="18" t="s">
        <v>14</v>
      </c>
      <c r="C17" s="16">
        <v>1</v>
      </c>
      <c r="D17" s="17">
        <f>D13+D14+D15+D16</f>
        <v>506925000</v>
      </c>
      <c r="E17" s="17">
        <f t="shared" ref="E17:O17" si="10">E13+E14+E15+E16</f>
        <v>452588400</v>
      </c>
      <c r="F17" s="17">
        <f t="shared" si="10"/>
        <v>503780400</v>
      </c>
      <c r="G17" s="17">
        <f t="shared" si="10"/>
        <v>499824000</v>
      </c>
      <c r="H17" s="17">
        <f t="shared" si="10"/>
        <v>524295000</v>
      </c>
      <c r="I17" s="17">
        <f t="shared" si="10"/>
        <v>525735000</v>
      </c>
      <c r="J17" s="17">
        <f t="shared" si="10"/>
        <v>557085600</v>
      </c>
      <c r="K17" s="17">
        <f t="shared" si="10"/>
        <v>567594000</v>
      </c>
      <c r="L17" s="17">
        <f t="shared" si="10"/>
        <v>562266000</v>
      </c>
      <c r="M17" s="17">
        <f t="shared" si="10"/>
        <v>588778200</v>
      </c>
      <c r="N17" s="17">
        <f t="shared" si="10"/>
        <v>583020000</v>
      </c>
      <c r="O17" s="17">
        <f t="shared" si="10"/>
        <v>616351500</v>
      </c>
      <c r="P17" s="25">
        <f>SUM(D17:O17)</f>
        <v>6488243100</v>
      </c>
      <c r="Q17" s="4"/>
    </row>
    <row r="18" spans="1:17" ht="16.5" thickTop="1">
      <c r="A18" s="5"/>
      <c r="B18" s="15" t="s">
        <v>39</v>
      </c>
      <c r="C18" s="16"/>
      <c r="D18" s="17">
        <f>D17</f>
        <v>506925000</v>
      </c>
      <c r="E18" s="17">
        <f t="shared" ref="E18:O18" si="11">D18+E17</f>
        <v>959513400</v>
      </c>
      <c r="F18" s="17">
        <f t="shared" si="11"/>
        <v>1463293800</v>
      </c>
      <c r="G18" s="17">
        <f t="shared" si="11"/>
        <v>1963117800</v>
      </c>
      <c r="H18" s="17">
        <f t="shared" si="11"/>
        <v>2487412800</v>
      </c>
      <c r="I18" s="17">
        <f t="shared" si="11"/>
        <v>3013147800</v>
      </c>
      <c r="J18" s="17">
        <f t="shared" si="11"/>
        <v>3570233400</v>
      </c>
      <c r="K18" s="17">
        <f t="shared" si="11"/>
        <v>4137827400</v>
      </c>
      <c r="L18" s="17">
        <f t="shared" si="11"/>
        <v>4700093400</v>
      </c>
      <c r="M18" s="17">
        <f t="shared" si="11"/>
        <v>5288871600</v>
      </c>
      <c r="N18" s="17">
        <f t="shared" si="11"/>
        <v>5871891600</v>
      </c>
      <c r="O18" s="17">
        <f t="shared" si="11"/>
        <v>6488243100</v>
      </c>
      <c r="P18" s="17"/>
      <c r="Q18" s="4"/>
    </row>
    <row r="19" spans="1:17" ht="15.75">
      <c r="A19" s="5"/>
      <c r="B19" s="18" t="s">
        <v>15</v>
      </c>
      <c r="C19" s="19"/>
      <c r="D19" s="17">
        <f t="shared" ref="D19:O19" si="12">D10</f>
        <v>2325</v>
      </c>
      <c r="E19" s="17">
        <f t="shared" si="12"/>
        <v>2016</v>
      </c>
      <c r="F19" s="17">
        <f t="shared" si="12"/>
        <v>2263</v>
      </c>
      <c r="G19" s="17">
        <f t="shared" si="12"/>
        <v>2220</v>
      </c>
      <c r="H19" s="17">
        <f t="shared" si="12"/>
        <v>2325</v>
      </c>
      <c r="I19" s="17">
        <f t="shared" si="12"/>
        <v>2310</v>
      </c>
      <c r="J19" s="17">
        <f t="shared" si="12"/>
        <v>2449</v>
      </c>
      <c r="K19" s="17">
        <f t="shared" si="12"/>
        <v>2480</v>
      </c>
      <c r="L19" s="17">
        <f t="shared" si="12"/>
        <v>2430</v>
      </c>
      <c r="M19" s="17">
        <f t="shared" si="12"/>
        <v>2542</v>
      </c>
      <c r="N19" s="17">
        <f t="shared" si="12"/>
        <v>2490</v>
      </c>
      <c r="O19" s="17">
        <f t="shared" si="12"/>
        <v>2635</v>
      </c>
      <c r="P19" s="17">
        <f>SUM(D19:O19)</f>
        <v>28485</v>
      </c>
      <c r="Q19" s="4"/>
    </row>
    <row r="20" spans="1:17" ht="15.75">
      <c r="A20" s="5"/>
      <c r="B20" s="18" t="s">
        <v>16</v>
      </c>
      <c r="C20" s="16">
        <v>0.21</v>
      </c>
      <c r="D20" s="23">
        <f t="shared" ref="D20:P20" si="13">$C$20*D17</f>
        <v>106454250</v>
      </c>
      <c r="E20" s="17">
        <f t="shared" si="13"/>
        <v>95043564</v>
      </c>
      <c r="F20" s="17">
        <f t="shared" si="13"/>
        <v>105793884</v>
      </c>
      <c r="G20" s="17">
        <f t="shared" si="13"/>
        <v>104963040</v>
      </c>
      <c r="H20" s="17">
        <f t="shared" si="13"/>
        <v>110101950</v>
      </c>
      <c r="I20" s="17">
        <f t="shared" si="13"/>
        <v>110404350</v>
      </c>
      <c r="J20" s="17">
        <f t="shared" si="13"/>
        <v>116987976</v>
      </c>
      <c r="K20" s="17">
        <f t="shared" si="13"/>
        <v>119194740</v>
      </c>
      <c r="L20" s="17">
        <f t="shared" si="13"/>
        <v>118075860</v>
      </c>
      <c r="M20" s="17">
        <f t="shared" si="13"/>
        <v>123643422</v>
      </c>
      <c r="N20" s="17">
        <f t="shared" si="13"/>
        <v>122434200</v>
      </c>
      <c r="O20" s="17">
        <f t="shared" si="13"/>
        <v>129433815</v>
      </c>
      <c r="P20" s="25">
        <f t="shared" si="13"/>
        <v>1362531051</v>
      </c>
      <c r="Q20" s="4"/>
    </row>
    <row r="21" spans="1:17" ht="16.5" thickBot="1">
      <c r="A21" s="5"/>
      <c r="B21" s="27" t="s">
        <v>17</v>
      </c>
      <c r="C21" s="28"/>
      <c r="D21" s="29">
        <f t="shared" ref="D21:P21" si="14">D17+D20</f>
        <v>613379250</v>
      </c>
      <c r="E21" s="30">
        <f t="shared" si="14"/>
        <v>547631964</v>
      </c>
      <c r="F21" s="30">
        <f t="shared" si="14"/>
        <v>609574284</v>
      </c>
      <c r="G21" s="30">
        <f t="shared" si="14"/>
        <v>604787040</v>
      </c>
      <c r="H21" s="30">
        <f t="shared" si="14"/>
        <v>634396950</v>
      </c>
      <c r="I21" s="30">
        <f t="shared" si="14"/>
        <v>636139350</v>
      </c>
      <c r="J21" s="30">
        <f t="shared" si="14"/>
        <v>674073576</v>
      </c>
      <c r="K21" s="30">
        <f t="shared" si="14"/>
        <v>686788740</v>
      </c>
      <c r="L21" s="30">
        <f t="shared" si="14"/>
        <v>680341860</v>
      </c>
      <c r="M21" s="30">
        <f t="shared" si="14"/>
        <v>712421622</v>
      </c>
      <c r="N21" s="30">
        <f t="shared" si="14"/>
        <v>705454200</v>
      </c>
      <c r="O21" s="30">
        <f t="shared" si="14"/>
        <v>745785315</v>
      </c>
      <c r="P21" s="30">
        <f t="shared" si="14"/>
        <v>7850774151</v>
      </c>
      <c r="Q21" s="4"/>
    </row>
    <row r="22" spans="1:17" ht="17.25" thickTop="1" thickBot="1">
      <c r="A22" s="5"/>
      <c r="B22" s="27" t="s">
        <v>52</v>
      </c>
      <c r="C22" s="28"/>
      <c r="D22" s="29">
        <f>D21</f>
        <v>613379250</v>
      </c>
      <c r="E22" s="30">
        <f>D22+E21</f>
        <v>1161011214</v>
      </c>
      <c r="F22" s="30">
        <f t="shared" ref="F22:O22" si="15">E22+F21</f>
        <v>1770585498</v>
      </c>
      <c r="G22" s="30">
        <f t="shared" si="15"/>
        <v>2375372538</v>
      </c>
      <c r="H22" s="30">
        <f t="shared" si="15"/>
        <v>3009769488</v>
      </c>
      <c r="I22" s="30">
        <f t="shared" si="15"/>
        <v>3645908838</v>
      </c>
      <c r="J22" s="30">
        <f t="shared" si="15"/>
        <v>4319982414</v>
      </c>
      <c r="K22" s="30">
        <f t="shared" si="15"/>
        <v>5006771154</v>
      </c>
      <c r="L22" s="30">
        <f t="shared" si="15"/>
        <v>5687113014</v>
      </c>
      <c r="M22" s="30">
        <f t="shared" si="15"/>
        <v>6399534636</v>
      </c>
      <c r="N22" s="30">
        <f t="shared" si="15"/>
        <v>7104988836</v>
      </c>
      <c r="O22" s="30">
        <f t="shared" si="15"/>
        <v>7850774151</v>
      </c>
      <c r="P22" s="30"/>
      <c r="Q22" s="4"/>
    </row>
    <row r="23" spans="1:17" ht="17.25" thickTop="1" thickBot="1">
      <c r="A23" s="5"/>
      <c r="B23" s="186" t="s">
        <v>83</v>
      </c>
      <c r="C23" s="187"/>
      <c r="D23" s="188">
        <f>D21/D6</f>
        <v>19786427.419354837</v>
      </c>
      <c r="E23" s="188">
        <f t="shared" ref="E23:P23" si="16">E21/E6</f>
        <v>19558284.428571429</v>
      </c>
      <c r="F23" s="188">
        <f t="shared" si="16"/>
        <v>19663686.580645163</v>
      </c>
      <c r="G23" s="188">
        <f t="shared" si="16"/>
        <v>20159568</v>
      </c>
      <c r="H23" s="188">
        <f t="shared" si="16"/>
        <v>20464417.741935484</v>
      </c>
      <c r="I23" s="188">
        <f t="shared" si="16"/>
        <v>21204645</v>
      </c>
      <c r="J23" s="188">
        <f t="shared" si="16"/>
        <v>21744308.903225806</v>
      </c>
      <c r="K23" s="188">
        <f t="shared" si="16"/>
        <v>22154475.483870968</v>
      </c>
      <c r="L23" s="188">
        <f t="shared" si="16"/>
        <v>22678062</v>
      </c>
      <c r="M23" s="188">
        <f t="shared" si="16"/>
        <v>22981342.64516129</v>
      </c>
      <c r="N23" s="188">
        <f t="shared" si="16"/>
        <v>23515140</v>
      </c>
      <c r="O23" s="188">
        <f t="shared" si="16"/>
        <v>24057590.806451611</v>
      </c>
      <c r="P23" s="188">
        <f t="shared" si="16"/>
        <v>21508970.276712328</v>
      </c>
      <c r="Q23" s="4"/>
    </row>
    <row r="24" spans="1:17" ht="16.5" thickTop="1">
      <c r="A24" s="5"/>
      <c r="B24" s="61" t="s">
        <v>18</v>
      </c>
      <c r="C24" s="31"/>
      <c r="D24" s="11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52"/>
      <c r="Q24" s="4"/>
    </row>
    <row r="25" spans="1:17" ht="15.75">
      <c r="A25" s="5"/>
      <c r="B25" s="62" t="s">
        <v>59</v>
      </c>
      <c r="C25" s="31">
        <v>0.3</v>
      </c>
      <c r="D25" s="11">
        <f>(D17*0.6)*$C$25</f>
        <v>91246500</v>
      </c>
      <c r="E25" s="11">
        <f t="shared" ref="E25:O25" si="17">(E17*0.6)*$C$25</f>
        <v>81465912</v>
      </c>
      <c r="F25" s="11">
        <f t="shared" si="17"/>
        <v>90680472</v>
      </c>
      <c r="G25" s="11">
        <f t="shared" si="17"/>
        <v>89968320</v>
      </c>
      <c r="H25" s="11">
        <f t="shared" si="17"/>
        <v>94373100</v>
      </c>
      <c r="I25" s="11">
        <f t="shared" si="17"/>
        <v>94632300</v>
      </c>
      <c r="J25" s="11">
        <f t="shared" si="17"/>
        <v>100275408</v>
      </c>
      <c r="K25" s="11">
        <f t="shared" si="17"/>
        <v>102166920</v>
      </c>
      <c r="L25" s="11">
        <f t="shared" si="17"/>
        <v>101207880</v>
      </c>
      <c r="M25" s="11">
        <f t="shared" si="17"/>
        <v>105980076</v>
      </c>
      <c r="N25" s="11">
        <f t="shared" si="17"/>
        <v>104943600</v>
      </c>
      <c r="O25" s="11">
        <f t="shared" si="17"/>
        <v>110943270</v>
      </c>
      <c r="P25" s="14">
        <f>SUM(D25:O25)</f>
        <v>1167883758</v>
      </c>
      <c r="Q25" s="4"/>
    </row>
    <row r="26" spans="1:17" ht="15.75">
      <c r="A26" s="5"/>
      <c r="B26" s="62" t="s">
        <v>58</v>
      </c>
      <c r="C26" s="31">
        <v>0.27</v>
      </c>
      <c r="D26" s="11">
        <f>(D17*0.4)*$C$26</f>
        <v>54747900</v>
      </c>
      <c r="E26" s="11">
        <f t="shared" ref="E26:O26" si="18">(E17*0.4)*$C$26</f>
        <v>48879547.200000003</v>
      </c>
      <c r="F26" s="11">
        <f t="shared" si="18"/>
        <v>54408283.200000003</v>
      </c>
      <c r="G26" s="11">
        <f t="shared" si="18"/>
        <v>53980992</v>
      </c>
      <c r="H26" s="11">
        <f t="shared" si="18"/>
        <v>56623860</v>
      </c>
      <c r="I26" s="11">
        <f t="shared" si="18"/>
        <v>56779380.000000007</v>
      </c>
      <c r="J26" s="11">
        <f t="shared" si="18"/>
        <v>60165244.800000004</v>
      </c>
      <c r="K26" s="11">
        <f t="shared" si="18"/>
        <v>61300152.000000007</v>
      </c>
      <c r="L26" s="11">
        <f t="shared" si="18"/>
        <v>60724728.000000007</v>
      </c>
      <c r="M26" s="11">
        <f t="shared" si="18"/>
        <v>63588045.600000001</v>
      </c>
      <c r="N26" s="11">
        <f t="shared" si="18"/>
        <v>62966160.000000007</v>
      </c>
      <c r="O26" s="11">
        <f t="shared" si="18"/>
        <v>66565962.000000007</v>
      </c>
      <c r="P26" s="14">
        <f>SUM(D26:O26)</f>
        <v>700730254.79999995</v>
      </c>
      <c r="Q26" s="4"/>
    </row>
    <row r="27" spans="1:17" ht="15.75">
      <c r="A27" s="5"/>
      <c r="B27" s="62" t="s">
        <v>40</v>
      </c>
      <c r="C27" s="31">
        <v>0.02</v>
      </c>
      <c r="D27" s="11">
        <f t="shared" ref="D27:O27" si="19">D17*$C$27</f>
        <v>10138500</v>
      </c>
      <c r="E27" s="14">
        <f t="shared" si="19"/>
        <v>9051768</v>
      </c>
      <c r="F27" s="14">
        <f t="shared" si="19"/>
        <v>10075608</v>
      </c>
      <c r="G27" s="14">
        <f t="shared" si="19"/>
        <v>9996480</v>
      </c>
      <c r="H27" s="14">
        <f t="shared" si="19"/>
        <v>10485900</v>
      </c>
      <c r="I27" s="14">
        <f t="shared" si="19"/>
        <v>10514700</v>
      </c>
      <c r="J27" s="14">
        <f t="shared" si="19"/>
        <v>11141712</v>
      </c>
      <c r="K27" s="14">
        <f t="shared" si="19"/>
        <v>11351880</v>
      </c>
      <c r="L27" s="14">
        <f t="shared" si="19"/>
        <v>11245320</v>
      </c>
      <c r="M27" s="14">
        <f t="shared" si="19"/>
        <v>11775564</v>
      </c>
      <c r="N27" s="14">
        <f t="shared" si="19"/>
        <v>11660400</v>
      </c>
      <c r="O27" s="14">
        <f t="shared" si="19"/>
        <v>12327030</v>
      </c>
      <c r="P27" s="14">
        <f>SUM(D27:O27)</f>
        <v>129764862</v>
      </c>
      <c r="Q27" s="4"/>
    </row>
    <row r="28" spans="1:17" ht="15.75">
      <c r="A28" s="5"/>
      <c r="B28" s="179" t="s">
        <v>81</v>
      </c>
      <c r="C28" s="31">
        <v>2.1999999999999999E-2</v>
      </c>
      <c r="D28" s="11">
        <f>D17*$C$28</f>
        <v>11152350</v>
      </c>
      <c r="E28" s="11">
        <f t="shared" ref="E28:O28" si="20">E17*$C$28</f>
        <v>9956944.7999999989</v>
      </c>
      <c r="F28" s="11">
        <f t="shared" si="20"/>
        <v>11083168.799999999</v>
      </c>
      <c r="G28" s="11">
        <f t="shared" si="20"/>
        <v>10996128</v>
      </c>
      <c r="H28" s="11">
        <f t="shared" si="20"/>
        <v>11534490</v>
      </c>
      <c r="I28" s="11">
        <f t="shared" si="20"/>
        <v>11566170</v>
      </c>
      <c r="J28" s="11">
        <f t="shared" si="20"/>
        <v>12255883.199999999</v>
      </c>
      <c r="K28" s="11">
        <f t="shared" si="20"/>
        <v>12487068</v>
      </c>
      <c r="L28" s="11">
        <f t="shared" si="20"/>
        <v>12369852</v>
      </c>
      <c r="M28" s="11">
        <f t="shared" si="20"/>
        <v>12953120.399999999</v>
      </c>
      <c r="N28" s="11">
        <f t="shared" si="20"/>
        <v>12826440</v>
      </c>
      <c r="O28" s="11">
        <f t="shared" si="20"/>
        <v>13559733</v>
      </c>
      <c r="P28" s="14">
        <f>SUM(D28:O28)</f>
        <v>142741348.19999999</v>
      </c>
      <c r="Q28" s="4"/>
    </row>
    <row r="29" spans="1:17" ht="16.5" thickBot="1">
      <c r="A29" s="5"/>
      <c r="B29" s="63" t="s">
        <v>19</v>
      </c>
      <c r="C29" s="33">
        <f>D29/D17</f>
        <v>0.33</v>
      </c>
      <c r="D29" s="34">
        <f>SUM(D25:D28)</f>
        <v>167285250</v>
      </c>
      <c r="E29" s="34">
        <f t="shared" ref="E29:P29" si="21">SUM(E25:E28)</f>
        <v>149354172</v>
      </c>
      <c r="F29" s="34">
        <f t="shared" si="21"/>
        <v>166247532</v>
      </c>
      <c r="G29" s="34">
        <f t="shared" si="21"/>
        <v>164941920</v>
      </c>
      <c r="H29" s="34">
        <f t="shared" si="21"/>
        <v>173017350</v>
      </c>
      <c r="I29" s="34">
        <f t="shared" si="21"/>
        <v>173492550</v>
      </c>
      <c r="J29" s="34">
        <f t="shared" si="21"/>
        <v>183838248</v>
      </c>
      <c r="K29" s="34">
        <f t="shared" si="21"/>
        <v>187306020</v>
      </c>
      <c r="L29" s="34">
        <f t="shared" si="21"/>
        <v>185547780</v>
      </c>
      <c r="M29" s="34">
        <f t="shared" si="21"/>
        <v>194296806</v>
      </c>
      <c r="N29" s="34">
        <f t="shared" si="21"/>
        <v>192396600</v>
      </c>
      <c r="O29" s="34">
        <f t="shared" si="21"/>
        <v>203395995</v>
      </c>
      <c r="P29" s="34">
        <f t="shared" si="21"/>
        <v>2141120223</v>
      </c>
      <c r="Q29" s="4"/>
    </row>
    <row r="30" spans="1:17" ht="16.5" thickTop="1">
      <c r="A30" s="5"/>
      <c r="B30" s="35" t="s">
        <v>20</v>
      </c>
      <c r="C30" s="36"/>
      <c r="D30" s="37">
        <f t="shared" ref="D30:P30" si="22">D17-D29</f>
        <v>339639750</v>
      </c>
      <c r="E30" s="37">
        <f t="shared" si="22"/>
        <v>303234228</v>
      </c>
      <c r="F30" s="37">
        <f t="shared" si="22"/>
        <v>337532868</v>
      </c>
      <c r="G30" s="37">
        <f t="shared" si="22"/>
        <v>334882080</v>
      </c>
      <c r="H30" s="37">
        <f t="shared" si="22"/>
        <v>351277650</v>
      </c>
      <c r="I30" s="37">
        <f t="shared" si="22"/>
        <v>352242450</v>
      </c>
      <c r="J30" s="37">
        <f t="shared" si="22"/>
        <v>373247352</v>
      </c>
      <c r="K30" s="37">
        <f t="shared" si="22"/>
        <v>380287980</v>
      </c>
      <c r="L30" s="37">
        <f t="shared" si="22"/>
        <v>376718220</v>
      </c>
      <c r="M30" s="37">
        <f t="shared" si="22"/>
        <v>394481394</v>
      </c>
      <c r="N30" s="37">
        <f t="shared" si="22"/>
        <v>390623400</v>
      </c>
      <c r="O30" s="37">
        <f t="shared" si="22"/>
        <v>412955505</v>
      </c>
      <c r="P30" s="37">
        <f t="shared" si="22"/>
        <v>4347122877</v>
      </c>
    </row>
    <row r="31" spans="1:17" ht="16.5" thickBot="1">
      <c r="A31" s="5"/>
      <c r="B31" s="39" t="s">
        <v>21</v>
      </c>
      <c r="C31" s="40">
        <f>1-C29</f>
        <v>0.66999999999999993</v>
      </c>
      <c r="D31" s="41">
        <f t="shared" ref="D31:P31" si="23">D30/D17</f>
        <v>0.67</v>
      </c>
      <c r="E31" s="42">
        <f t="shared" si="23"/>
        <v>0.67</v>
      </c>
      <c r="F31" s="42">
        <f t="shared" si="23"/>
        <v>0.67</v>
      </c>
      <c r="G31" s="42">
        <f t="shared" si="23"/>
        <v>0.67</v>
      </c>
      <c r="H31" s="42">
        <f t="shared" si="23"/>
        <v>0.67</v>
      </c>
      <c r="I31" s="42">
        <f t="shared" si="23"/>
        <v>0.67</v>
      </c>
      <c r="J31" s="42">
        <f t="shared" si="23"/>
        <v>0.67</v>
      </c>
      <c r="K31" s="42">
        <f t="shared" si="23"/>
        <v>0.67</v>
      </c>
      <c r="L31" s="42">
        <f t="shared" si="23"/>
        <v>0.67</v>
      </c>
      <c r="M31" s="42">
        <f t="shared" si="23"/>
        <v>0.67</v>
      </c>
      <c r="N31" s="42">
        <f t="shared" si="23"/>
        <v>0.67</v>
      </c>
      <c r="O31" s="42">
        <f t="shared" si="23"/>
        <v>0.67</v>
      </c>
      <c r="P31" s="42">
        <f t="shared" si="23"/>
        <v>0.67</v>
      </c>
      <c r="Q31" s="4"/>
    </row>
    <row r="32" spans="1:17" ht="16.5" thickTop="1">
      <c r="A32" s="5"/>
      <c r="B32" s="64" t="s">
        <v>22</v>
      </c>
      <c r="C32" s="32"/>
      <c r="D32" s="43"/>
      <c r="E32" s="51"/>
      <c r="F32" s="51"/>
      <c r="G32" s="51"/>
      <c r="H32" s="51"/>
      <c r="I32" s="51"/>
      <c r="J32" s="51"/>
      <c r="K32" s="51"/>
      <c r="L32" s="51"/>
      <c r="M32" s="51"/>
      <c r="N32" s="119"/>
      <c r="O32" s="50"/>
      <c r="P32" s="52"/>
      <c r="Q32" s="4"/>
    </row>
    <row r="33" spans="1:17" ht="15.75">
      <c r="A33" s="5"/>
      <c r="B33" s="47" t="s">
        <v>23</v>
      </c>
      <c r="C33" s="31"/>
      <c r="D33" s="11"/>
      <c r="E33" s="14"/>
      <c r="F33" s="14"/>
      <c r="G33" s="14"/>
      <c r="H33" s="14"/>
      <c r="I33" s="14"/>
      <c r="J33" s="14"/>
      <c r="K33" s="14"/>
      <c r="L33" s="14"/>
      <c r="M33" s="14"/>
      <c r="N33" s="120"/>
      <c r="O33" s="50"/>
      <c r="P33" s="52"/>
      <c r="Q33" s="4"/>
    </row>
    <row r="34" spans="1:17" ht="15.75">
      <c r="A34" s="5"/>
      <c r="B34" s="47" t="s">
        <v>36</v>
      </c>
      <c r="C34" s="44"/>
      <c r="D34" s="11">
        <v>2</v>
      </c>
      <c r="E34" s="11">
        <v>2</v>
      </c>
      <c r="F34" s="11">
        <v>2</v>
      </c>
      <c r="G34" s="11">
        <v>2</v>
      </c>
      <c r="H34" s="11">
        <v>2</v>
      </c>
      <c r="I34" s="11">
        <v>2</v>
      </c>
      <c r="J34" s="11">
        <v>2</v>
      </c>
      <c r="K34" s="11">
        <v>2</v>
      </c>
      <c r="L34" s="11">
        <v>2</v>
      </c>
      <c r="M34" s="11">
        <v>2</v>
      </c>
      <c r="N34" s="11">
        <v>2</v>
      </c>
      <c r="O34" s="11">
        <v>2</v>
      </c>
      <c r="P34" s="14">
        <f>SUM(D34:O34)/12</f>
        <v>2</v>
      </c>
      <c r="Q34" s="4"/>
    </row>
    <row r="35" spans="1:17" ht="15.75">
      <c r="A35" s="5"/>
      <c r="B35" s="47" t="s">
        <v>36</v>
      </c>
      <c r="C35" s="32">
        <v>15000000</v>
      </c>
      <c r="D35" s="11">
        <f t="shared" ref="D35:G35" si="24">(D34*$C$35)*1.1</f>
        <v>33000000.000000004</v>
      </c>
      <c r="E35" s="14">
        <f t="shared" si="24"/>
        <v>33000000.000000004</v>
      </c>
      <c r="F35" s="14">
        <f t="shared" si="24"/>
        <v>33000000.000000004</v>
      </c>
      <c r="G35" s="14">
        <f t="shared" si="24"/>
        <v>33000000.000000004</v>
      </c>
      <c r="H35" s="14">
        <f>(H34*$C$35)*1.1</f>
        <v>33000000.000000004</v>
      </c>
      <c r="I35" s="14">
        <f t="shared" ref="I35:O35" si="25">(I34*$C$35)*1.1</f>
        <v>33000000.000000004</v>
      </c>
      <c r="J35" s="14">
        <f t="shared" si="25"/>
        <v>33000000.000000004</v>
      </c>
      <c r="K35" s="14">
        <f t="shared" si="25"/>
        <v>33000000.000000004</v>
      </c>
      <c r="L35" s="14">
        <f t="shared" si="25"/>
        <v>33000000.000000004</v>
      </c>
      <c r="M35" s="14">
        <f t="shared" si="25"/>
        <v>33000000.000000004</v>
      </c>
      <c r="N35" s="14">
        <f t="shared" si="25"/>
        <v>33000000.000000004</v>
      </c>
      <c r="O35" s="14">
        <f t="shared" si="25"/>
        <v>33000000.000000004</v>
      </c>
      <c r="P35" s="14">
        <f>SUM(D35:O35)</f>
        <v>396000000.00000006</v>
      </c>
      <c r="Q35" s="4"/>
    </row>
    <row r="36" spans="1:17" ht="15.75">
      <c r="A36" s="5"/>
      <c r="B36" s="47" t="s">
        <v>80</v>
      </c>
      <c r="C36" s="32"/>
      <c r="D36" s="11">
        <v>2</v>
      </c>
      <c r="E36" s="14">
        <v>2</v>
      </c>
      <c r="F36" s="14">
        <v>2</v>
      </c>
      <c r="G36" s="14">
        <v>2</v>
      </c>
      <c r="H36" s="14">
        <v>2</v>
      </c>
      <c r="I36" s="14">
        <v>2</v>
      </c>
      <c r="J36" s="14">
        <v>2</v>
      </c>
      <c r="K36" s="14">
        <v>2</v>
      </c>
      <c r="L36" s="14">
        <v>2</v>
      </c>
      <c r="M36" s="14">
        <v>2</v>
      </c>
      <c r="N36" s="14">
        <v>2</v>
      </c>
      <c r="O36" s="14">
        <v>2</v>
      </c>
      <c r="P36" s="14">
        <v>2</v>
      </c>
      <c r="Q36" s="4"/>
    </row>
    <row r="37" spans="1:17" ht="15.75">
      <c r="A37" s="5"/>
      <c r="B37" s="47" t="s">
        <v>80</v>
      </c>
      <c r="C37" s="32">
        <v>5500000</v>
      </c>
      <c r="D37" s="11">
        <f t="shared" ref="D37:O37" si="26">(D36*$C$37)*1.1</f>
        <v>12100000.000000002</v>
      </c>
      <c r="E37" s="14">
        <f t="shared" si="26"/>
        <v>12100000.000000002</v>
      </c>
      <c r="F37" s="14">
        <f t="shared" si="26"/>
        <v>12100000.000000002</v>
      </c>
      <c r="G37" s="14">
        <f t="shared" si="26"/>
        <v>12100000.000000002</v>
      </c>
      <c r="H37" s="14">
        <f t="shared" si="26"/>
        <v>12100000.000000002</v>
      </c>
      <c r="I37" s="14">
        <f t="shared" si="26"/>
        <v>12100000.000000002</v>
      </c>
      <c r="J37" s="14">
        <f t="shared" si="26"/>
        <v>12100000.000000002</v>
      </c>
      <c r="K37" s="14">
        <f t="shared" si="26"/>
        <v>12100000.000000002</v>
      </c>
      <c r="L37" s="14">
        <f t="shared" si="26"/>
        <v>12100000.000000002</v>
      </c>
      <c r="M37" s="14">
        <f t="shared" si="26"/>
        <v>12100000.000000002</v>
      </c>
      <c r="N37" s="14">
        <f t="shared" si="26"/>
        <v>12100000.000000002</v>
      </c>
      <c r="O37" s="14">
        <f t="shared" si="26"/>
        <v>12100000.000000002</v>
      </c>
      <c r="P37" s="14">
        <f>SUM(D37:O37)</f>
        <v>145200000.00000003</v>
      </c>
      <c r="Q37" s="4"/>
    </row>
    <row r="38" spans="1:17" ht="15.75">
      <c r="A38" s="5"/>
      <c r="B38" s="47" t="s">
        <v>42</v>
      </c>
      <c r="C38" s="32"/>
      <c r="D38" s="11">
        <v>4</v>
      </c>
      <c r="E38" s="14">
        <v>4</v>
      </c>
      <c r="F38" s="14">
        <v>4</v>
      </c>
      <c r="G38" s="14">
        <v>4</v>
      </c>
      <c r="H38" s="14">
        <v>4</v>
      </c>
      <c r="I38" s="14">
        <v>4</v>
      </c>
      <c r="J38" s="14">
        <v>4</v>
      </c>
      <c r="K38" s="14">
        <v>4</v>
      </c>
      <c r="L38" s="14">
        <v>4</v>
      </c>
      <c r="M38" s="14">
        <v>4</v>
      </c>
      <c r="N38" s="14">
        <v>4</v>
      </c>
      <c r="O38" s="14">
        <v>4</v>
      </c>
      <c r="P38" s="14">
        <f>SUM(D38:O38)/12</f>
        <v>4</v>
      </c>
      <c r="Q38" s="4"/>
    </row>
    <row r="39" spans="1:17" ht="15.75">
      <c r="A39" s="5"/>
      <c r="B39" s="47" t="s">
        <v>42</v>
      </c>
      <c r="C39" s="32">
        <v>4500000</v>
      </c>
      <c r="D39" s="11">
        <f t="shared" ref="D39:O39" si="27">(D38*$C$39)*1.1</f>
        <v>19800000</v>
      </c>
      <c r="E39" s="14">
        <f t="shared" si="27"/>
        <v>19800000</v>
      </c>
      <c r="F39" s="14">
        <f t="shared" si="27"/>
        <v>19800000</v>
      </c>
      <c r="G39" s="14">
        <f t="shared" si="27"/>
        <v>19800000</v>
      </c>
      <c r="H39" s="14">
        <f t="shared" si="27"/>
        <v>19800000</v>
      </c>
      <c r="I39" s="14">
        <f t="shared" si="27"/>
        <v>19800000</v>
      </c>
      <c r="J39" s="14">
        <f t="shared" si="27"/>
        <v>19800000</v>
      </c>
      <c r="K39" s="14">
        <f t="shared" si="27"/>
        <v>19800000</v>
      </c>
      <c r="L39" s="14">
        <f t="shared" si="27"/>
        <v>19800000</v>
      </c>
      <c r="M39" s="14">
        <f t="shared" si="27"/>
        <v>19800000</v>
      </c>
      <c r="N39" s="14">
        <f t="shared" si="27"/>
        <v>19800000</v>
      </c>
      <c r="O39" s="14">
        <f t="shared" si="27"/>
        <v>19800000</v>
      </c>
      <c r="P39" s="14">
        <f>SUM(D39:O39)</f>
        <v>237600000</v>
      </c>
      <c r="Q39" s="4"/>
    </row>
    <row r="40" spans="1:17" ht="15.75">
      <c r="A40" s="5"/>
      <c r="B40" s="47" t="s">
        <v>24</v>
      </c>
      <c r="C40" s="44"/>
      <c r="D40" s="11">
        <v>3</v>
      </c>
      <c r="E40" s="14">
        <v>3</v>
      </c>
      <c r="F40" s="14">
        <v>3</v>
      </c>
      <c r="G40" s="14">
        <v>3</v>
      </c>
      <c r="H40" s="14">
        <v>3</v>
      </c>
      <c r="I40" s="14">
        <v>3</v>
      </c>
      <c r="J40" s="14">
        <v>3</v>
      </c>
      <c r="K40" s="14">
        <v>3</v>
      </c>
      <c r="L40" s="14">
        <v>3</v>
      </c>
      <c r="M40" s="14">
        <v>3</v>
      </c>
      <c r="N40" s="14">
        <v>3</v>
      </c>
      <c r="O40" s="14">
        <v>3</v>
      </c>
      <c r="P40" s="14">
        <f>SUM(D40:O40)/12</f>
        <v>3</v>
      </c>
      <c r="Q40" s="4"/>
    </row>
    <row r="41" spans="1:17" ht="15.75">
      <c r="A41" s="5"/>
      <c r="B41" s="47" t="s">
        <v>24</v>
      </c>
      <c r="C41" s="32">
        <v>4500000</v>
      </c>
      <c r="D41" s="11">
        <f t="shared" ref="D41:O41" si="28">(D40*$C$41)*1.1</f>
        <v>14850000.000000002</v>
      </c>
      <c r="E41" s="14">
        <f t="shared" si="28"/>
        <v>14850000.000000002</v>
      </c>
      <c r="F41" s="14">
        <f t="shared" si="28"/>
        <v>14850000.000000002</v>
      </c>
      <c r="G41" s="14">
        <f t="shared" si="28"/>
        <v>14850000.000000002</v>
      </c>
      <c r="H41" s="14">
        <f t="shared" si="28"/>
        <v>14850000.000000002</v>
      </c>
      <c r="I41" s="14">
        <f t="shared" si="28"/>
        <v>14850000.000000002</v>
      </c>
      <c r="J41" s="14">
        <f t="shared" si="28"/>
        <v>14850000.000000002</v>
      </c>
      <c r="K41" s="14">
        <f t="shared" si="28"/>
        <v>14850000.000000002</v>
      </c>
      <c r="L41" s="14">
        <f t="shared" si="28"/>
        <v>14850000.000000002</v>
      </c>
      <c r="M41" s="14">
        <f t="shared" si="28"/>
        <v>14850000.000000002</v>
      </c>
      <c r="N41" s="14">
        <f t="shared" si="28"/>
        <v>14850000.000000002</v>
      </c>
      <c r="O41" s="14">
        <f t="shared" si="28"/>
        <v>14850000.000000002</v>
      </c>
      <c r="P41" s="14">
        <f>SUM(D41:O41)</f>
        <v>178200000.00000003</v>
      </c>
      <c r="Q41" s="4"/>
    </row>
    <row r="42" spans="1:17" ht="15.75">
      <c r="A42" s="5"/>
      <c r="B42" s="47" t="s">
        <v>25</v>
      </c>
      <c r="C42" s="32"/>
      <c r="D42" s="11">
        <v>6</v>
      </c>
      <c r="E42" s="14">
        <v>6</v>
      </c>
      <c r="F42" s="14">
        <v>6</v>
      </c>
      <c r="G42" s="14">
        <v>6</v>
      </c>
      <c r="H42" s="14">
        <v>6</v>
      </c>
      <c r="I42" s="14">
        <v>6</v>
      </c>
      <c r="J42" s="14">
        <v>7</v>
      </c>
      <c r="K42" s="14">
        <v>7</v>
      </c>
      <c r="L42" s="14">
        <v>7</v>
      </c>
      <c r="M42" s="14">
        <v>7</v>
      </c>
      <c r="N42" s="14">
        <v>7</v>
      </c>
      <c r="O42" s="14">
        <v>7</v>
      </c>
      <c r="P42" s="14">
        <v>7</v>
      </c>
      <c r="Q42" s="4"/>
    </row>
    <row r="43" spans="1:17" ht="15.75">
      <c r="A43" s="5"/>
      <c r="B43" s="47" t="s">
        <v>25</v>
      </c>
      <c r="C43" s="32">
        <v>5250000</v>
      </c>
      <c r="D43" s="11">
        <f t="shared" ref="D43:O43" si="29">(D42*$C$43)*1.1</f>
        <v>34650000</v>
      </c>
      <c r="E43" s="14">
        <f t="shared" si="29"/>
        <v>34650000</v>
      </c>
      <c r="F43" s="14">
        <f t="shared" si="29"/>
        <v>34650000</v>
      </c>
      <c r="G43" s="14">
        <f t="shared" si="29"/>
        <v>34650000</v>
      </c>
      <c r="H43" s="14">
        <f t="shared" si="29"/>
        <v>34650000</v>
      </c>
      <c r="I43" s="14">
        <f t="shared" si="29"/>
        <v>34650000</v>
      </c>
      <c r="J43" s="14">
        <f t="shared" si="29"/>
        <v>40425000</v>
      </c>
      <c r="K43" s="14">
        <f t="shared" si="29"/>
        <v>40425000</v>
      </c>
      <c r="L43" s="14">
        <f t="shared" si="29"/>
        <v>40425000</v>
      </c>
      <c r="M43" s="14">
        <f t="shared" si="29"/>
        <v>40425000</v>
      </c>
      <c r="N43" s="14">
        <f t="shared" si="29"/>
        <v>40425000</v>
      </c>
      <c r="O43" s="14">
        <f t="shared" si="29"/>
        <v>40425000</v>
      </c>
      <c r="P43" s="14">
        <f>SUM(D43:O43)</f>
        <v>450450000</v>
      </c>
      <c r="Q43" s="4"/>
    </row>
    <row r="44" spans="1:17" ht="15.75">
      <c r="A44" s="5"/>
      <c r="B44" s="47" t="s">
        <v>62</v>
      </c>
      <c r="C44" s="31">
        <v>0.1</v>
      </c>
      <c r="D44" s="14">
        <f>(D35+D37+D39+D41+D43)*$C$44</f>
        <v>11440000.000000002</v>
      </c>
      <c r="E44" s="14">
        <f t="shared" ref="E44:P44" si="30">(E35+E37+E39+E41+E43)*$C$44</f>
        <v>11440000.000000002</v>
      </c>
      <c r="F44" s="14">
        <f t="shared" si="30"/>
        <v>11440000.000000002</v>
      </c>
      <c r="G44" s="14">
        <f t="shared" si="30"/>
        <v>11440000.000000002</v>
      </c>
      <c r="H44" s="14">
        <f t="shared" si="30"/>
        <v>11440000.000000002</v>
      </c>
      <c r="I44" s="14">
        <f t="shared" si="30"/>
        <v>11440000.000000002</v>
      </c>
      <c r="J44" s="14">
        <f t="shared" si="30"/>
        <v>12017500.000000002</v>
      </c>
      <c r="K44" s="14">
        <f t="shared" si="30"/>
        <v>12017500.000000002</v>
      </c>
      <c r="L44" s="14">
        <f t="shared" si="30"/>
        <v>12017500.000000002</v>
      </c>
      <c r="M44" s="14">
        <f t="shared" si="30"/>
        <v>12017500.000000002</v>
      </c>
      <c r="N44" s="14">
        <f t="shared" si="30"/>
        <v>12017500.000000002</v>
      </c>
      <c r="O44" s="14">
        <f t="shared" si="30"/>
        <v>12017500.000000002</v>
      </c>
      <c r="P44" s="14">
        <f t="shared" si="30"/>
        <v>140745000</v>
      </c>
      <c r="Q44" s="4"/>
    </row>
    <row r="45" spans="1:17" ht="15.75">
      <c r="A45" s="5"/>
      <c r="B45" s="7" t="s">
        <v>26</v>
      </c>
      <c r="C45" s="165"/>
      <c r="D45" s="24">
        <f t="shared" ref="D45:P45" si="31">D3+D7+D34+D36+D38+D40+D42</f>
        <v>17</v>
      </c>
      <c r="E45" s="24">
        <f t="shared" si="31"/>
        <v>17</v>
      </c>
      <c r="F45" s="24">
        <f t="shared" si="31"/>
        <v>17</v>
      </c>
      <c r="G45" s="24">
        <f t="shared" si="31"/>
        <v>17</v>
      </c>
      <c r="H45" s="24">
        <f t="shared" si="31"/>
        <v>17</v>
      </c>
      <c r="I45" s="24">
        <f t="shared" si="31"/>
        <v>17</v>
      </c>
      <c r="J45" s="24">
        <f t="shared" si="31"/>
        <v>18</v>
      </c>
      <c r="K45" s="24">
        <f t="shared" si="31"/>
        <v>18</v>
      </c>
      <c r="L45" s="24">
        <f t="shared" si="31"/>
        <v>18</v>
      </c>
      <c r="M45" s="24">
        <f t="shared" si="31"/>
        <v>18</v>
      </c>
      <c r="N45" s="24">
        <f t="shared" si="31"/>
        <v>18</v>
      </c>
      <c r="O45" s="24">
        <f t="shared" si="31"/>
        <v>18</v>
      </c>
      <c r="P45" s="24">
        <f t="shared" si="31"/>
        <v>18</v>
      </c>
      <c r="Q45" s="4"/>
    </row>
    <row r="46" spans="1:17" ht="15.75">
      <c r="A46" s="5"/>
      <c r="B46" s="166"/>
      <c r="C46" s="26"/>
      <c r="D46" s="24">
        <f>D35+D37+D39+D41+D43+D44</f>
        <v>125840000.00000001</v>
      </c>
      <c r="E46" s="24">
        <f t="shared" ref="E46:O46" si="32">E35+E37+E39+E41+E43+E44</f>
        <v>125840000.00000001</v>
      </c>
      <c r="F46" s="24">
        <f t="shared" si="32"/>
        <v>125840000.00000001</v>
      </c>
      <c r="G46" s="24">
        <f t="shared" si="32"/>
        <v>125840000.00000001</v>
      </c>
      <c r="H46" s="24">
        <f t="shared" si="32"/>
        <v>125840000.00000001</v>
      </c>
      <c r="I46" s="24">
        <f t="shared" si="32"/>
        <v>125840000.00000001</v>
      </c>
      <c r="J46" s="24">
        <f t="shared" si="32"/>
        <v>132192500.00000001</v>
      </c>
      <c r="K46" s="24">
        <f t="shared" si="32"/>
        <v>132192500.00000001</v>
      </c>
      <c r="L46" s="24">
        <f t="shared" si="32"/>
        <v>132192500.00000001</v>
      </c>
      <c r="M46" s="24">
        <f t="shared" si="32"/>
        <v>132192500.00000001</v>
      </c>
      <c r="N46" s="24">
        <f t="shared" si="32"/>
        <v>132192500.00000001</v>
      </c>
      <c r="O46" s="24">
        <f t="shared" si="32"/>
        <v>132192500.00000001</v>
      </c>
      <c r="P46" s="24">
        <f t="shared" ref="P46" si="33">P35+P37+P39+P41+P43+P44</f>
        <v>1548195000</v>
      </c>
      <c r="Q46" s="4"/>
    </row>
    <row r="47" spans="1:17" ht="15.75">
      <c r="A47" s="5"/>
      <c r="B47" s="167"/>
      <c r="C47" s="16">
        <v>0.22</v>
      </c>
      <c r="D47" s="168">
        <f t="shared" ref="D47:P47" si="34">D46/D17</f>
        <v>0.24824185037234309</v>
      </c>
      <c r="E47" s="168">
        <f t="shared" si="34"/>
        <v>0.27804512886322319</v>
      </c>
      <c r="F47" s="168">
        <f t="shared" si="34"/>
        <v>0.24979137735410115</v>
      </c>
      <c r="G47" s="168">
        <f t="shared" si="34"/>
        <v>0.25176862255513943</v>
      </c>
      <c r="H47" s="168">
        <f t="shared" si="34"/>
        <v>0.24001754737313918</v>
      </c>
      <c r="I47" s="168">
        <f t="shared" si="34"/>
        <v>0.23936013390776725</v>
      </c>
      <c r="J47" s="168">
        <f t="shared" si="34"/>
        <v>0.23729297616021669</v>
      </c>
      <c r="K47" s="168">
        <f t="shared" si="34"/>
        <v>0.2328997487640814</v>
      </c>
      <c r="L47" s="168">
        <f t="shared" si="34"/>
        <v>0.23510669327329062</v>
      </c>
      <c r="M47" s="168">
        <f t="shared" si="34"/>
        <v>0.22452003148214389</v>
      </c>
      <c r="N47" s="168">
        <f t="shared" si="34"/>
        <v>0.22673750471681933</v>
      </c>
      <c r="O47" s="168">
        <f t="shared" si="34"/>
        <v>0.21447583075566462</v>
      </c>
      <c r="P47" s="168">
        <f t="shared" si="34"/>
        <v>0.23861544275367857</v>
      </c>
      <c r="Q47" s="4"/>
    </row>
    <row r="48" spans="1:17" ht="15.75">
      <c r="A48" s="5"/>
      <c r="B48" s="72" t="s">
        <v>43</v>
      </c>
      <c r="C48" s="47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50"/>
      <c r="Q48" s="4"/>
    </row>
    <row r="49" spans="1:17" ht="15.75">
      <c r="A49" s="5"/>
      <c r="B49" s="73" t="s">
        <v>27</v>
      </c>
      <c r="C49" s="31">
        <v>0.02</v>
      </c>
      <c r="D49" s="14">
        <f t="shared" ref="D49:O49" si="35">$C$49*D17</f>
        <v>10138500</v>
      </c>
      <c r="E49" s="14">
        <f t="shared" si="35"/>
        <v>9051768</v>
      </c>
      <c r="F49" s="14">
        <f t="shared" si="35"/>
        <v>10075608</v>
      </c>
      <c r="G49" s="14">
        <f t="shared" si="35"/>
        <v>9996480</v>
      </c>
      <c r="H49" s="14">
        <f t="shared" si="35"/>
        <v>10485900</v>
      </c>
      <c r="I49" s="14">
        <f t="shared" si="35"/>
        <v>10514700</v>
      </c>
      <c r="J49" s="14">
        <f t="shared" si="35"/>
        <v>11141712</v>
      </c>
      <c r="K49" s="14">
        <f t="shared" si="35"/>
        <v>11351880</v>
      </c>
      <c r="L49" s="14">
        <f t="shared" si="35"/>
        <v>11245320</v>
      </c>
      <c r="M49" s="14">
        <f t="shared" si="35"/>
        <v>11775564</v>
      </c>
      <c r="N49" s="14">
        <f t="shared" si="35"/>
        <v>11660400</v>
      </c>
      <c r="O49" s="14">
        <f t="shared" si="35"/>
        <v>12327030</v>
      </c>
      <c r="P49" s="14">
        <f>SUM(D49:O49)</f>
        <v>129764862</v>
      </c>
      <c r="Q49" s="4"/>
    </row>
    <row r="50" spans="1:17" ht="15.75">
      <c r="A50" s="5"/>
      <c r="B50" s="73" t="s">
        <v>28</v>
      </c>
      <c r="C50" s="31">
        <v>5.0000000000000001E-3</v>
      </c>
      <c r="D50" s="14">
        <f t="shared" ref="D50:O50" si="36">$C$50*D17</f>
        <v>2534625</v>
      </c>
      <c r="E50" s="14">
        <f t="shared" si="36"/>
        <v>2262942</v>
      </c>
      <c r="F50" s="14">
        <f t="shared" si="36"/>
        <v>2518902</v>
      </c>
      <c r="G50" s="14">
        <f t="shared" si="36"/>
        <v>2499120</v>
      </c>
      <c r="H50" s="14">
        <f t="shared" si="36"/>
        <v>2621475</v>
      </c>
      <c r="I50" s="14">
        <f t="shared" si="36"/>
        <v>2628675</v>
      </c>
      <c r="J50" s="14">
        <f t="shared" si="36"/>
        <v>2785428</v>
      </c>
      <c r="K50" s="14">
        <f t="shared" si="36"/>
        <v>2837970</v>
      </c>
      <c r="L50" s="14">
        <f t="shared" si="36"/>
        <v>2811330</v>
      </c>
      <c r="M50" s="14">
        <f t="shared" si="36"/>
        <v>2943891</v>
      </c>
      <c r="N50" s="14">
        <f t="shared" si="36"/>
        <v>2915100</v>
      </c>
      <c r="O50" s="14">
        <f t="shared" si="36"/>
        <v>3081757.5</v>
      </c>
      <c r="P50" s="14">
        <f>SUM(D50:O50)</f>
        <v>32441215.5</v>
      </c>
      <c r="Q50" s="4"/>
    </row>
    <row r="51" spans="1:17" ht="15.75">
      <c r="A51" s="5"/>
      <c r="B51" s="73"/>
      <c r="C51" s="31"/>
      <c r="D51" s="51">
        <f t="shared" ref="D51:O51" si="37">SUM(D49:D50)</f>
        <v>12673125</v>
      </c>
      <c r="E51" s="51">
        <f t="shared" si="37"/>
        <v>11314710</v>
      </c>
      <c r="F51" s="51">
        <f t="shared" si="37"/>
        <v>12594510</v>
      </c>
      <c r="G51" s="51">
        <f t="shared" si="37"/>
        <v>12495600</v>
      </c>
      <c r="H51" s="51">
        <f t="shared" si="37"/>
        <v>13107375</v>
      </c>
      <c r="I51" s="51">
        <f t="shared" si="37"/>
        <v>13143375</v>
      </c>
      <c r="J51" s="51">
        <f t="shared" si="37"/>
        <v>13927140</v>
      </c>
      <c r="K51" s="51">
        <f t="shared" si="37"/>
        <v>14189850</v>
      </c>
      <c r="L51" s="51">
        <f t="shared" si="37"/>
        <v>14056650</v>
      </c>
      <c r="M51" s="51">
        <f t="shared" si="37"/>
        <v>14719455</v>
      </c>
      <c r="N51" s="51">
        <f t="shared" si="37"/>
        <v>14575500</v>
      </c>
      <c r="O51" s="51">
        <f t="shared" si="37"/>
        <v>15408787.5</v>
      </c>
      <c r="P51" s="51">
        <f>SUM(D51:O51)</f>
        <v>162206077.5</v>
      </c>
      <c r="Q51" s="4"/>
    </row>
    <row r="52" spans="1:17" ht="15.75">
      <c r="A52" s="5"/>
      <c r="B52" s="72" t="s">
        <v>44</v>
      </c>
      <c r="C52" s="31"/>
      <c r="D52" s="75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4"/>
    </row>
    <row r="53" spans="1:17" ht="15.75">
      <c r="A53" s="5"/>
      <c r="B53" s="73" t="s">
        <v>45</v>
      </c>
      <c r="C53" s="31"/>
      <c r="D53" s="14">
        <f t="shared" ref="D53:O53" si="38">D17*0.1</f>
        <v>50692500</v>
      </c>
      <c r="E53" s="14">
        <f t="shared" si="38"/>
        <v>45258840</v>
      </c>
      <c r="F53" s="14">
        <f t="shared" si="38"/>
        <v>50378040</v>
      </c>
      <c r="G53" s="14">
        <f t="shared" si="38"/>
        <v>49982400</v>
      </c>
      <c r="H53" s="14">
        <f t="shared" si="38"/>
        <v>52429500</v>
      </c>
      <c r="I53" s="14">
        <f t="shared" si="38"/>
        <v>52573500</v>
      </c>
      <c r="J53" s="14">
        <f t="shared" si="38"/>
        <v>55708560</v>
      </c>
      <c r="K53" s="14">
        <f t="shared" si="38"/>
        <v>56759400</v>
      </c>
      <c r="L53" s="14">
        <f t="shared" si="38"/>
        <v>56226600</v>
      </c>
      <c r="M53" s="14">
        <f t="shared" si="38"/>
        <v>58877820</v>
      </c>
      <c r="N53" s="14">
        <f t="shared" si="38"/>
        <v>58302000</v>
      </c>
      <c r="O53" s="14">
        <f t="shared" si="38"/>
        <v>61635150</v>
      </c>
      <c r="P53" s="14">
        <f>SUM(D53:O53)</f>
        <v>648824310</v>
      </c>
      <c r="Q53" s="4"/>
    </row>
    <row r="54" spans="1:17" ht="15.75">
      <c r="A54" s="5"/>
      <c r="B54" s="73" t="s">
        <v>61</v>
      </c>
      <c r="C54" s="31"/>
      <c r="D54" s="14">
        <v>10000000</v>
      </c>
      <c r="E54" s="14">
        <v>10000000</v>
      </c>
      <c r="F54" s="14">
        <v>10000000</v>
      </c>
      <c r="G54" s="14">
        <v>10000000</v>
      </c>
      <c r="H54" s="14">
        <v>10000000</v>
      </c>
      <c r="I54" s="14">
        <v>10000000</v>
      </c>
      <c r="J54" s="14">
        <v>10000000</v>
      </c>
      <c r="K54" s="14">
        <v>10000000</v>
      </c>
      <c r="L54" s="14">
        <v>10000000</v>
      </c>
      <c r="M54" s="14">
        <v>10000000</v>
      </c>
      <c r="N54" s="14">
        <v>10000000</v>
      </c>
      <c r="O54" s="14">
        <v>10000000</v>
      </c>
      <c r="P54" s="14">
        <f>SUM(D54:O54)</f>
        <v>120000000</v>
      </c>
      <c r="Q54" s="4"/>
    </row>
    <row r="55" spans="1:17" ht="15.75">
      <c r="A55" s="5"/>
      <c r="B55" s="73" t="s">
        <v>67</v>
      </c>
      <c r="C55" s="31">
        <v>0.01</v>
      </c>
      <c r="D55" s="14">
        <f t="shared" ref="D55:O55" si="39">$C$55*D17</f>
        <v>5069250</v>
      </c>
      <c r="E55" s="14">
        <f t="shared" si="39"/>
        <v>4525884</v>
      </c>
      <c r="F55" s="14">
        <f t="shared" si="39"/>
        <v>5037804</v>
      </c>
      <c r="G55" s="14">
        <f t="shared" si="39"/>
        <v>4998240</v>
      </c>
      <c r="H55" s="14">
        <f t="shared" si="39"/>
        <v>5242950</v>
      </c>
      <c r="I55" s="14">
        <f t="shared" si="39"/>
        <v>5257350</v>
      </c>
      <c r="J55" s="14">
        <f t="shared" si="39"/>
        <v>5570856</v>
      </c>
      <c r="K55" s="14">
        <f t="shared" si="39"/>
        <v>5675940</v>
      </c>
      <c r="L55" s="14">
        <f t="shared" si="39"/>
        <v>5622660</v>
      </c>
      <c r="M55" s="14">
        <f t="shared" si="39"/>
        <v>5887782</v>
      </c>
      <c r="N55" s="14">
        <f t="shared" si="39"/>
        <v>5830200</v>
      </c>
      <c r="O55" s="14">
        <f t="shared" si="39"/>
        <v>6163515</v>
      </c>
      <c r="P55" s="14">
        <f>SUM(D55:O55)</f>
        <v>64882431</v>
      </c>
      <c r="Q55" s="4"/>
    </row>
    <row r="56" spans="1:17" ht="15.75">
      <c r="A56" s="5"/>
      <c r="B56" s="73" t="s">
        <v>47</v>
      </c>
      <c r="C56" s="31">
        <v>0.06</v>
      </c>
      <c r="D56" s="14">
        <f t="shared" ref="D56:O56" si="40">$C$56*D17</f>
        <v>30415500</v>
      </c>
      <c r="E56" s="14">
        <f t="shared" si="40"/>
        <v>27155304</v>
      </c>
      <c r="F56" s="14">
        <f t="shared" si="40"/>
        <v>30226824</v>
      </c>
      <c r="G56" s="14">
        <f t="shared" si="40"/>
        <v>29989440</v>
      </c>
      <c r="H56" s="14">
        <f t="shared" si="40"/>
        <v>31457700</v>
      </c>
      <c r="I56" s="14">
        <f t="shared" si="40"/>
        <v>31544100</v>
      </c>
      <c r="J56" s="14">
        <f t="shared" si="40"/>
        <v>33425136</v>
      </c>
      <c r="K56" s="14">
        <f t="shared" si="40"/>
        <v>34055640</v>
      </c>
      <c r="L56" s="14">
        <f t="shared" si="40"/>
        <v>33735960</v>
      </c>
      <c r="M56" s="14">
        <f t="shared" si="40"/>
        <v>35326692</v>
      </c>
      <c r="N56" s="14">
        <f t="shared" si="40"/>
        <v>34981200</v>
      </c>
      <c r="O56" s="14">
        <f t="shared" si="40"/>
        <v>36981090</v>
      </c>
      <c r="P56" s="14">
        <f>SUM(D56:O56)</f>
        <v>389294586</v>
      </c>
      <c r="Q56" s="4"/>
    </row>
    <row r="57" spans="1:17" ht="15.75">
      <c r="A57" s="5"/>
      <c r="B57" s="73"/>
      <c r="C57" s="31"/>
      <c r="D57" s="51">
        <f t="shared" ref="D57:O57" si="41">SUM(D53:D56)</f>
        <v>96177250</v>
      </c>
      <c r="E57" s="51">
        <f t="shared" si="41"/>
        <v>86940028</v>
      </c>
      <c r="F57" s="51">
        <f t="shared" si="41"/>
        <v>95642668</v>
      </c>
      <c r="G57" s="51">
        <f t="shared" si="41"/>
        <v>94970080</v>
      </c>
      <c r="H57" s="51">
        <f t="shared" si="41"/>
        <v>99130150</v>
      </c>
      <c r="I57" s="51">
        <f t="shared" si="41"/>
        <v>99374950</v>
      </c>
      <c r="J57" s="51">
        <f t="shared" si="41"/>
        <v>104704552</v>
      </c>
      <c r="K57" s="51">
        <f t="shared" si="41"/>
        <v>106490980</v>
      </c>
      <c r="L57" s="51">
        <f t="shared" si="41"/>
        <v>105585220</v>
      </c>
      <c r="M57" s="51">
        <f t="shared" si="41"/>
        <v>110092294</v>
      </c>
      <c r="N57" s="51">
        <f t="shared" si="41"/>
        <v>109113400</v>
      </c>
      <c r="O57" s="51">
        <f t="shared" si="41"/>
        <v>114779755</v>
      </c>
      <c r="P57" s="51">
        <f>SUM(D57:O57)</f>
        <v>1223001327</v>
      </c>
      <c r="Q57" s="4"/>
    </row>
    <row r="58" spans="1:17" ht="15.75">
      <c r="A58" s="5"/>
      <c r="B58" s="72" t="s">
        <v>29</v>
      </c>
      <c r="C58" s="31"/>
      <c r="D58" s="75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4"/>
    </row>
    <row r="59" spans="1:17" ht="15.75">
      <c r="A59" s="5"/>
      <c r="B59" s="73" t="s">
        <v>84</v>
      </c>
      <c r="C59" s="31">
        <v>0.02</v>
      </c>
      <c r="D59" s="14">
        <f t="shared" ref="D59:O59" si="42">$C$59*D17</f>
        <v>10138500</v>
      </c>
      <c r="E59" s="14">
        <f t="shared" si="42"/>
        <v>9051768</v>
      </c>
      <c r="F59" s="14">
        <f t="shared" si="42"/>
        <v>10075608</v>
      </c>
      <c r="G59" s="14">
        <f t="shared" si="42"/>
        <v>9996480</v>
      </c>
      <c r="H59" s="14">
        <f t="shared" si="42"/>
        <v>10485900</v>
      </c>
      <c r="I59" s="14">
        <f t="shared" si="42"/>
        <v>10514700</v>
      </c>
      <c r="J59" s="14">
        <f t="shared" si="42"/>
        <v>11141712</v>
      </c>
      <c r="K59" s="14">
        <f t="shared" si="42"/>
        <v>11351880</v>
      </c>
      <c r="L59" s="14">
        <f t="shared" si="42"/>
        <v>11245320</v>
      </c>
      <c r="M59" s="14">
        <f t="shared" si="42"/>
        <v>11775564</v>
      </c>
      <c r="N59" s="14">
        <f t="shared" si="42"/>
        <v>11660400</v>
      </c>
      <c r="O59" s="14">
        <f t="shared" si="42"/>
        <v>12327030</v>
      </c>
      <c r="P59" s="14">
        <f t="shared" ref="P59:P62" si="43">SUM(D59:O59)</f>
        <v>129764862</v>
      </c>
      <c r="Q59" s="4"/>
    </row>
    <row r="60" spans="1:17" ht="15.75">
      <c r="A60" s="5"/>
      <c r="B60" s="73" t="s">
        <v>31</v>
      </c>
      <c r="C60" s="31">
        <v>1.4999999999999999E-2</v>
      </c>
      <c r="D60" s="14">
        <f t="shared" ref="D60:O60" si="44">$C$60*D17</f>
        <v>7603875</v>
      </c>
      <c r="E60" s="14">
        <f t="shared" si="44"/>
        <v>6788826</v>
      </c>
      <c r="F60" s="14">
        <f t="shared" si="44"/>
        <v>7556706</v>
      </c>
      <c r="G60" s="14">
        <f t="shared" si="44"/>
        <v>7497360</v>
      </c>
      <c r="H60" s="14">
        <f t="shared" si="44"/>
        <v>7864425</v>
      </c>
      <c r="I60" s="14">
        <f t="shared" si="44"/>
        <v>7886025</v>
      </c>
      <c r="J60" s="14">
        <f t="shared" si="44"/>
        <v>8356284</v>
      </c>
      <c r="K60" s="14">
        <f t="shared" si="44"/>
        <v>8513910</v>
      </c>
      <c r="L60" s="14">
        <f t="shared" si="44"/>
        <v>8433990</v>
      </c>
      <c r="M60" s="14">
        <f t="shared" si="44"/>
        <v>8831673</v>
      </c>
      <c r="N60" s="14">
        <f t="shared" si="44"/>
        <v>8745300</v>
      </c>
      <c r="O60" s="14">
        <f t="shared" si="44"/>
        <v>9245272.5</v>
      </c>
      <c r="P60" s="14">
        <f t="shared" si="43"/>
        <v>97323646.5</v>
      </c>
      <c r="Q60" s="4"/>
    </row>
    <row r="61" spans="1:17" ht="15.75">
      <c r="A61" s="5"/>
      <c r="B61" s="73" t="s">
        <v>32</v>
      </c>
      <c r="C61" s="31">
        <v>0.02</v>
      </c>
      <c r="D61" s="14">
        <f t="shared" ref="D61:O61" si="45">$C$61*D17</f>
        <v>10138500</v>
      </c>
      <c r="E61" s="14">
        <f t="shared" si="45"/>
        <v>9051768</v>
      </c>
      <c r="F61" s="14">
        <f t="shared" si="45"/>
        <v>10075608</v>
      </c>
      <c r="G61" s="14">
        <f t="shared" si="45"/>
        <v>9996480</v>
      </c>
      <c r="H61" s="14">
        <f t="shared" si="45"/>
        <v>10485900</v>
      </c>
      <c r="I61" s="14">
        <f t="shared" si="45"/>
        <v>10514700</v>
      </c>
      <c r="J61" s="14">
        <f t="shared" si="45"/>
        <v>11141712</v>
      </c>
      <c r="K61" s="14">
        <f t="shared" si="45"/>
        <v>11351880</v>
      </c>
      <c r="L61" s="14">
        <f t="shared" si="45"/>
        <v>11245320</v>
      </c>
      <c r="M61" s="14">
        <f t="shared" si="45"/>
        <v>11775564</v>
      </c>
      <c r="N61" s="14">
        <f t="shared" si="45"/>
        <v>11660400</v>
      </c>
      <c r="O61" s="14">
        <f t="shared" si="45"/>
        <v>12327030</v>
      </c>
      <c r="P61" s="14">
        <f t="shared" si="43"/>
        <v>129764862</v>
      </c>
      <c r="Q61" s="4"/>
    </row>
    <row r="62" spans="1:17" ht="15.75">
      <c r="A62" s="5"/>
      <c r="B62" s="101" t="s">
        <v>33</v>
      </c>
      <c r="C62" s="102"/>
      <c r="D62" s="103">
        <f t="shared" ref="D62:O62" si="46">SUM(D59:D61)</f>
        <v>27880875</v>
      </c>
      <c r="E62" s="103">
        <f t="shared" si="46"/>
        <v>24892362</v>
      </c>
      <c r="F62" s="103">
        <f t="shared" si="46"/>
        <v>27707922</v>
      </c>
      <c r="G62" s="103">
        <f t="shared" si="46"/>
        <v>27490320</v>
      </c>
      <c r="H62" s="103">
        <f t="shared" si="46"/>
        <v>28836225</v>
      </c>
      <c r="I62" s="103">
        <f t="shared" si="46"/>
        <v>28915425</v>
      </c>
      <c r="J62" s="103">
        <f t="shared" si="46"/>
        <v>30639708</v>
      </c>
      <c r="K62" s="103">
        <f t="shared" si="46"/>
        <v>31217670</v>
      </c>
      <c r="L62" s="103">
        <f t="shared" si="46"/>
        <v>30924630</v>
      </c>
      <c r="M62" s="103">
        <f t="shared" si="46"/>
        <v>32382801</v>
      </c>
      <c r="N62" s="103">
        <f t="shared" si="46"/>
        <v>32066100</v>
      </c>
      <c r="O62" s="103">
        <f t="shared" si="46"/>
        <v>33899332.5</v>
      </c>
      <c r="P62" s="103">
        <f t="shared" si="43"/>
        <v>356853370.5</v>
      </c>
      <c r="Q62" s="4"/>
    </row>
    <row r="63" spans="1:17" ht="15.75">
      <c r="A63" s="5"/>
      <c r="B63" s="65" t="s">
        <v>37</v>
      </c>
      <c r="C63" s="66"/>
      <c r="D63" s="104">
        <f t="shared" ref="D63:P63" si="47">D51+D57+D62</f>
        <v>136731250</v>
      </c>
      <c r="E63" s="46">
        <f t="shared" si="47"/>
        <v>123147100</v>
      </c>
      <c r="F63" s="46">
        <f t="shared" si="47"/>
        <v>135945100</v>
      </c>
      <c r="G63" s="46">
        <f t="shared" si="47"/>
        <v>134956000</v>
      </c>
      <c r="H63" s="46">
        <f t="shared" si="47"/>
        <v>141073750</v>
      </c>
      <c r="I63" s="46">
        <f t="shared" si="47"/>
        <v>141433750</v>
      </c>
      <c r="J63" s="46">
        <f t="shared" si="47"/>
        <v>149271400</v>
      </c>
      <c r="K63" s="46">
        <f t="shared" si="47"/>
        <v>151898500</v>
      </c>
      <c r="L63" s="46">
        <f t="shared" si="47"/>
        <v>150566500</v>
      </c>
      <c r="M63" s="46">
        <f t="shared" si="47"/>
        <v>157194550</v>
      </c>
      <c r="N63" s="46">
        <f t="shared" si="47"/>
        <v>155755000</v>
      </c>
      <c r="O63" s="46">
        <f t="shared" si="47"/>
        <v>164087875</v>
      </c>
      <c r="P63" s="46">
        <f t="shared" si="47"/>
        <v>1742060775</v>
      </c>
      <c r="Q63" s="4"/>
    </row>
    <row r="64" spans="1:17" ht="16.5" thickBot="1">
      <c r="A64" s="5"/>
      <c r="B64" s="151"/>
      <c r="C64" s="110">
        <v>0.26</v>
      </c>
      <c r="D64" s="111">
        <f t="shared" ref="D64:P64" si="48">D63/D17</f>
        <v>0.26972678404103173</v>
      </c>
      <c r="E64" s="121">
        <f t="shared" si="48"/>
        <v>0.27209513102854604</v>
      </c>
      <c r="F64" s="121">
        <f t="shared" si="48"/>
        <v>0.2698499187344327</v>
      </c>
      <c r="G64" s="121">
        <f t="shared" si="48"/>
        <v>0.27000704247895257</v>
      </c>
      <c r="H64" s="121">
        <f t="shared" si="48"/>
        <v>0.26907323167300851</v>
      </c>
      <c r="I64" s="121">
        <f t="shared" si="48"/>
        <v>0.26902098966209209</v>
      </c>
      <c r="J64" s="121">
        <f t="shared" si="48"/>
        <v>0.26795056271423995</v>
      </c>
      <c r="K64" s="121">
        <f t="shared" si="48"/>
        <v>0.26761822711304206</v>
      </c>
      <c r="L64" s="121">
        <f t="shared" si="48"/>
        <v>0.26778517641116484</v>
      </c>
      <c r="M64" s="121">
        <f t="shared" si="48"/>
        <v>0.26698432448755743</v>
      </c>
      <c r="N64" s="121">
        <f t="shared" si="48"/>
        <v>0.26715207025487975</v>
      </c>
      <c r="O64" s="121">
        <f t="shared" si="48"/>
        <v>0.26622450825543542</v>
      </c>
      <c r="P64" s="110">
        <f t="shared" si="48"/>
        <v>0.26849499134827426</v>
      </c>
      <c r="Q64" s="4"/>
    </row>
    <row r="65" spans="1:17" ht="17.25" thickTop="1" thickBot="1">
      <c r="A65" s="5"/>
      <c r="B65" s="152" t="s">
        <v>77</v>
      </c>
      <c r="C65" s="86">
        <f>D65/D17</f>
        <v>5.5555555555555552E-2</v>
      </c>
      <c r="D65" s="155">
        <f>-D16*0.5</f>
        <v>28162500</v>
      </c>
      <c r="E65" s="155">
        <f t="shared" ref="E65:O65" si="49">-E16*0.5</f>
        <v>25143800</v>
      </c>
      <c r="F65" s="155">
        <f t="shared" si="49"/>
        <v>27987800</v>
      </c>
      <c r="G65" s="155">
        <f t="shared" si="49"/>
        <v>27768000</v>
      </c>
      <c r="H65" s="155">
        <f t="shared" si="49"/>
        <v>29127500</v>
      </c>
      <c r="I65" s="155">
        <f t="shared" si="49"/>
        <v>29207500</v>
      </c>
      <c r="J65" s="155">
        <f t="shared" si="49"/>
        <v>30949200</v>
      </c>
      <c r="K65" s="155">
        <f t="shared" si="49"/>
        <v>31533000</v>
      </c>
      <c r="L65" s="155">
        <f t="shared" si="49"/>
        <v>31237000</v>
      </c>
      <c r="M65" s="155">
        <f t="shared" si="49"/>
        <v>32709900</v>
      </c>
      <c r="N65" s="155">
        <f t="shared" si="49"/>
        <v>32390000</v>
      </c>
      <c r="O65" s="155">
        <f t="shared" si="49"/>
        <v>34241750</v>
      </c>
      <c r="P65" s="38">
        <f>SUM(D65:O65)</f>
        <v>360457950</v>
      </c>
      <c r="Q65" s="4"/>
    </row>
    <row r="66" spans="1:17" ht="16.5" thickTop="1">
      <c r="A66" s="5"/>
      <c r="B66" s="48" t="s">
        <v>34</v>
      </c>
      <c r="C66" s="36"/>
      <c r="D66" s="37">
        <f t="shared" ref="D66:O66" si="50">(D30+D65)-(D63+D46)</f>
        <v>105231000</v>
      </c>
      <c r="E66" s="37">
        <f t="shared" si="50"/>
        <v>79390928</v>
      </c>
      <c r="F66" s="37">
        <f t="shared" si="50"/>
        <v>103735568</v>
      </c>
      <c r="G66" s="37">
        <f t="shared" si="50"/>
        <v>101854080</v>
      </c>
      <c r="H66" s="37">
        <f t="shared" si="50"/>
        <v>113491400</v>
      </c>
      <c r="I66" s="37">
        <f t="shared" si="50"/>
        <v>114176200</v>
      </c>
      <c r="J66" s="37">
        <f t="shared" si="50"/>
        <v>122732652</v>
      </c>
      <c r="K66" s="37">
        <f t="shared" si="50"/>
        <v>127729980</v>
      </c>
      <c r="L66" s="37">
        <f t="shared" si="50"/>
        <v>125196220</v>
      </c>
      <c r="M66" s="37">
        <f t="shared" si="50"/>
        <v>137804244</v>
      </c>
      <c r="N66" s="37">
        <f t="shared" si="50"/>
        <v>135065900</v>
      </c>
      <c r="O66" s="37">
        <f t="shared" si="50"/>
        <v>150916880</v>
      </c>
      <c r="P66" s="38">
        <f>SUM(D66:O66)</f>
        <v>1417325052</v>
      </c>
      <c r="Q66" s="97"/>
    </row>
    <row r="67" spans="1:17" ht="16.5" thickBot="1">
      <c r="A67" s="5"/>
      <c r="B67" s="49" t="s">
        <v>35</v>
      </c>
      <c r="C67" s="40">
        <f>(C31+C65)-(C47+C64)</f>
        <v>0.24555555555555553</v>
      </c>
      <c r="D67" s="42">
        <f t="shared" ref="D67:P67" si="51">D66/D17</f>
        <v>0.2075869211421808</v>
      </c>
      <c r="E67" s="42">
        <f t="shared" si="51"/>
        <v>0.17541529566378636</v>
      </c>
      <c r="F67" s="42">
        <f t="shared" si="51"/>
        <v>0.20591425946702174</v>
      </c>
      <c r="G67" s="42">
        <f t="shared" si="51"/>
        <v>0.20377989052146356</v>
      </c>
      <c r="H67" s="42">
        <f t="shared" si="51"/>
        <v>0.21646477650940787</v>
      </c>
      <c r="I67" s="42">
        <f t="shared" si="51"/>
        <v>0.21717443198569622</v>
      </c>
      <c r="J67" s="42">
        <f t="shared" si="51"/>
        <v>0.22031201668109893</v>
      </c>
      <c r="K67" s="42">
        <f t="shared" si="51"/>
        <v>0.22503757967843213</v>
      </c>
      <c r="L67" s="42">
        <f t="shared" si="51"/>
        <v>0.22266368587110016</v>
      </c>
      <c r="M67" s="42">
        <f t="shared" si="51"/>
        <v>0.23405119958585424</v>
      </c>
      <c r="N67" s="42">
        <f t="shared" si="51"/>
        <v>0.23166598058385648</v>
      </c>
      <c r="O67" s="42">
        <f t="shared" si="51"/>
        <v>0.24485521654445555</v>
      </c>
      <c r="P67" s="42">
        <f t="shared" si="51"/>
        <v>0.21844512145360276</v>
      </c>
      <c r="Q67" s="4"/>
    </row>
    <row r="68" spans="1:17" ht="16.5" thickTop="1">
      <c r="A68" s="5"/>
      <c r="B68" s="88"/>
      <c r="C68" s="89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1"/>
      <c r="P68" s="96"/>
      <c r="Q68" s="76"/>
    </row>
    <row r="69" spans="1:17" ht="15.75">
      <c r="B69" s="93" t="s">
        <v>69</v>
      </c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69"/>
      <c r="P69" s="107"/>
    </row>
    <row r="70" spans="1:17"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</row>
    <row r="71" spans="1:17">
      <c r="B71" s="93" t="s">
        <v>70</v>
      </c>
      <c r="C71" s="113"/>
      <c r="D71" s="112">
        <f t="shared" ref="D71:O71" si="52">D63+D46</f>
        <v>262571250</v>
      </c>
      <c r="E71" s="112">
        <f t="shared" si="52"/>
        <v>248987100</v>
      </c>
      <c r="F71" s="112">
        <f t="shared" si="52"/>
        <v>261785100</v>
      </c>
      <c r="G71" s="112">
        <f t="shared" si="52"/>
        <v>260796000</v>
      </c>
      <c r="H71" s="112">
        <f t="shared" si="52"/>
        <v>266913750</v>
      </c>
      <c r="I71" s="112">
        <f t="shared" si="52"/>
        <v>267273750</v>
      </c>
      <c r="J71" s="112">
        <f t="shared" si="52"/>
        <v>281463900</v>
      </c>
      <c r="K71" s="112">
        <f t="shared" si="52"/>
        <v>284091000</v>
      </c>
      <c r="L71" s="112">
        <f t="shared" si="52"/>
        <v>282759000</v>
      </c>
      <c r="M71" s="112">
        <f t="shared" si="52"/>
        <v>289387050</v>
      </c>
      <c r="N71" s="112">
        <f t="shared" si="52"/>
        <v>287947500</v>
      </c>
      <c r="O71" s="112">
        <f t="shared" si="52"/>
        <v>296280375</v>
      </c>
    </row>
    <row r="72" spans="1:17">
      <c r="B72" s="93" t="s">
        <v>72</v>
      </c>
      <c r="C72" s="93"/>
      <c r="D72" s="112">
        <f t="shared" ref="D72:O72" si="53">D29</f>
        <v>167285250</v>
      </c>
      <c r="E72" s="112">
        <f t="shared" si="53"/>
        <v>149354172</v>
      </c>
      <c r="F72" s="112">
        <f t="shared" si="53"/>
        <v>166247532</v>
      </c>
      <c r="G72" s="112">
        <f t="shared" si="53"/>
        <v>164941920</v>
      </c>
      <c r="H72" s="112">
        <f t="shared" si="53"/>
        <v>173017350</v>
      </c>
      <c r="I72" s="112">
        <f t="shared" si="53"/>
        <v>173492550</v>
      </c>
      <c r="J72" s="112">
        <f t="shared" si="53"/>
        <v>183838248</v>
      </c>
      <c r="K72" s="112">
        <f t="shared" si="53"/>
        <v>187306020</v>
      </c>
      <c r="L72" s="112">
        <f t="shared" si="53"/>
        <v>185547780</v>
      </c>
      <c r="M72" s="112">
        <f t="shared" si="53"/>
        <v>194296806</v>
      </c>
      <c r="N72" s="112">
        <f t="shared" si="53"/>
        <v>192396600</v>
      </c>
      <c r="O72" s="112">
        <f t="shared" si="53"/>
        <v>203395995</v>
      </c>
    </row>
    <row r="73" spans="1:17">
      <c r="B73" s="93"/>
      <c r="C73" s="93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</row>
    <row r="74" spans="1:17">
      <c r="B74" s="93" t="s">
        <v>71</v>
      </c>
      <c r="C74" s="93"/>
      <c r="D74" s="112">
        <f>(D72/0.69)+D71</f>
        <v>505013641.30434787</v>
      </c>
      <c r="E74" s="112">
        <f t="shared" ref="E74:O74" si="54">(E72/0.69)+E71</f>
        <v>465442421.73913044</v>
      </c>
      <c r="F74" s="112">
        <f t="shared" si="54"/>
        <v>502723552.17391306</v>
      </c>
      <c r="G74" s="112">
        <f t="shared" si="54"/>
        <v>499842260.86956525</v>
      </c>
      <c r="H74" s="112">
        <f t="shared" si="54"/>
        <v>517663532.60869569</v>
      </c>
      <c r="I74" s="112">
        <f t="shared" si="54"/>
        <v>518712228.26086962</v>
      </c>
      <c r="J74" s="112">
        <f t="shared" si="54"/>
        <v>547896143.47826087</v>
      </c>
      <c r="K74" s="112">
        <f t="shared" si="54"/>
        <v>555549000</v>
      </c>
      <c r="L74" s="112">
        <f t="shared" si="54"/>
        <v>551668826.0869565</v>
      </c>
      <c r="M74" s="112">
        <f t="shared" si="54"/>
        <v>570976623.9130435</v>
      </c>
      <c r="N74" s="112">
        <f t="shared" si="54"/>
        <v>566783152.173913</v>
      </c>
      <c r="O74" s="112">
        <f t="shared" si="54"/>
        <v>591057179.34782612</v>
      </c>
    </row>
    <row r="75" spans="1:17">
      <c r="B75" s="93" t="s">
        <v>73</v>
      </c>
      <c r="C75" s="93"/>
      <c r="D75" s="112">
        <f t="shared" ref="D75:O75" si="55">D74/D6</f>
        <v>16290762.622720899</v>
      </c>
      <c r="E75" s="112">
        <f t="shared" si="55"/>
        <v>16622943.633540373</v>
      </c>
      <c r="F75" s="112">
        <f t="shared" si="55"/>
        <v>16216888.779803647</v>
      </c>
      <c r="G75" s="112">
        <f t="shared" si="55"/>
        <v>16661408.695652176</v>
      </c>
      <c r="H75" s="112">
        <f t="shared" si="55"/>
        <v>16698823.63253857</v>
      </c>
      <c r="I75" s="112">
        <f t="shared" si="55"/>
        <v>17290407.608695652</v>
      </c>
      <c r="J75" s="112">
        <f t="shared" si="55"/>
        <v>17674069.14446003</v>
      </c>
      <c r="K75" s="112">
        <f t="shared" si="55"/>
        <v>17920935.483870968</v>
      </c>
      <c r="L75" s="112">
        <f t="shared" si="55"/>
        <v>18388960.869565215</v>
      </c>
      <c r="M75" s="112">
        <f t="shared" si="55"/>
        <v>18418600.771388501</v>
      </c>
      <c r="N75" s="112">
        <f t="shared" si="55"/>
        <v>18892771.739130434</v>
      </c>
      <c r="O75" s="112">
        <f t="shared" si="55"/>
        <v>19066360.624123424</v>
      </c>
    </row>
    <row r="78" spans="1:17">
      <c r="B78" s="93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72FB-F3FD-4361-A306-DB34D4C48080}">
  <dimension ref="A1:Q75"/>
  <sheetViews>
    <sheetView topLeftCell="A46" workbookViewId="0">
      <selection activeCell="E39" sqref="E39"/>
    </sheetView>
  </sheetViews>
  <sheetFormatPr defaultRowHeight="12.75"/>
  <cols>
    <col min="1" max="1" width="3.7109375" customWidth="1"/>
    <col min="2" max="2" width="44" customWidth="1"/>
    <col min="3" max="3" width="13.7109375" customWidth="1"/>
    <col min="4" max="4" width="14.85546875" customWidth="1"/>
    <col min="5" max="5" width="13.85546875" customWidth="1"/>
    <col min="6" max="6" width="15" customWidth="1"/>
    <col min="7" max="7" width="16" customWidth="1"/>
    <col min="8" max="8" width="14.5703125" customWidth="1"/>
    <col min="9" max="9" width="15.85546875" customWidth="1"/>
    <col min="10" max="10" width="15.5703125" customWidth="1"/>
    <col min="11" max="11" width="15.28515625" customWidth="1"/>
    <col min="12" max="12" width="14.7109375" customWidth="1"/>
    <col min="13" max="13" width="14.140625" customWidth="1"/>
    <col min="14" max="14" width="15" customWidth="1"/>
    <col min="15" max="15" width="14.140625" customWidth="1"/>
    <col min="16" max="16" width="15.42578125" customWidth="1"/>
  </cols>
  <sheetData>
    <row r="1" spans="1:17" ht="21.75" customHeight="1"/>
    <row r="2" spans="1:17" ht="17.25" customHeight="1">
      <c r="A2" s="57"/>
      <c r="B2" s="69" t="s">
        <v>54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7" ht="15.75">
      <c r="A3" s="5"/>
      <c r="B3" s="6" t="s">
        <v>63</v>
      </c>
      <c r="C3" s="55"/>
      <c r="D3" s="11"/>
      <c r="E3" s="11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3"/>
    </row>
    <row r="4" spans="1:17" ht="15.75">
      <c r="A4" s="5"/>
      <c r="B4" s="6" t="s">
        <v>68</v>
      </c>
      <c r="C4" s="55"/>
      <c r="D4" s="11"/>
      <c r="E4" s="11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3"/>
    </row>
    <row r="5" spans="1:17" ht="15.75">
      <c r="A5" s="5"/>
      <c r="B5" s="7" t="s">
        <v>87</v>
      </c>
      <c r="C5" s="8" t="s">
        <v>10</v>
      </c>
      <c r="D5" s="9" t="s">
        <v>11</v>
      </c>
      <c r="E5" s="9" t="s">
        <v>0</v>
      </c>
      <c r="F5" s="9" t="s">
        <v>1</v>
      </c>
      <c r="G5" s="9" t="s">
        <v>2</v>
      </c>
      <c r="H5" s="9" t="s">
        <v>3</v>
      </c>
      <c r="I5" s="9" t="s">
        <v>4</v>
      </c>
      <c r="J5" s="9" t="s">
        <v>5</v>
      </c>
      <c r="K5" s="9" t="s">
        <v>6</v>
      </c>
      <c r="L5" s="9" t="s">
        <v>7</v>
      </c>
      <c r="M5" s="9" t="s">
        <v>8</v>
      </c>
      <c r="N5" s="9" t="s">
        <v>9</v>
      </c>
      <c r="O5" s="9" t="s">
        <v>12</v>
      </c>
      <c r="P5" s="9" t="s">
        <v>88</v>
      </c>
      <c r="Q5" s="4"/>
    </row>
    <row r="6" spans="1:17" ht="15.75">
      <c r="A6" s="5"/>
      <c r="B6" s="7"/>
      <c r="C6" s="74"/>
      <c r="D6" s="58">
        <v>31</v>
      </c>
      <c r="E6" s="117">
        <v>28</v>
      </c>
      <c r="F6" s="117">
        <v>31</v>
      </c>
      <c r="G6" s="117">
        <v>30</v>
      </c>
      <c r="H6" s="117">
        <v>31</v>
      </c>
      <c r="I6" s="117">
        <v>30</v>
      </c>
      <c r="J6" s="117">
        <v>31</v>
      </c>
      <c r="K6" s="117">
        <v>31</v>
      </c>
      <c r="L6" s="117">
        <v>30</v>
      </c>
      <c r="M6" s="117">
        <v>31</v>
      </c>
      <c r="N6" s="117">
        <v>30</v>
      </c>
      <c r="O6" s="117">
        <v>31</v>
      </c>
      <c r="P6" s="53">
        <f>SUM(D6:O6)</f>
        <v>365</v>
      </c>
      <c r="Q6" s="4"/>
    </row>
    <row r="7" spans="1:17" ht="15.75">
      <c r="A7" s="5"/>
      <c r="B7" s="64" t="s">
        <v>38</v>
      </c>
      <c r="C7" s="10"/>
      <c r="D7" s="11"/>
      <c r="E7" s="14"/>
      <c r="F7" s="14"/>
      <c r="G7" s="14"/>
      <c r="H7" s="14"/>
      <c r="I7" s="14"/>
      <c r="J7" s="14"/>
      <c r="K7" s="14"/>
      <c r="L7" s="52"/>
      <c r="M7" s="50"/>
      <c r="N7" s="54"/>
      <c r="O7" s="54"/>
      <c r="P7" s="54"/>
      <c r="Q7" s="4"/>
    </row>
    <row r="8" spans="1:17" ht="15.75">
      <c r="A8" s="5"/>
      <c r="B8" s="59" t="s">
        <v>13</v>
      </c>
      <c r="C8" s="13"/>
      <c r="D8" s="11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52"/>
      <c r="Q8" s="4"/>
    </row>
    <row r="9" spans="1:17" ht="15.75">
      <c r="A9" s="5"/>
      <c r="B9" s="60" t="s">
        <v>50</v>
      </c>
      <c r="C9" s="13"/>
      <c r="D9" s="11">
        <v>85</v>
      </c>
      <c r="E9" s="14">
        <v>78</v>
      </c>
      <c r="F9" s="14">
        <f t="shared" ref="F9:H9" si="0">E9+1</f>
        <v>79</v>
      </c>
      <c r="G9" s="14">
        <f t="shared" si="0"/>
        <v>80</v>
      </c>
      <c r="H9" s="14">
        <f t="shared" si="0"/>
        <v>81</v>
      </c>
      <c r="I9" s="14">
        <f>H9+2</f>
        <v>83</v>
      </c>
      <c r="J9" s="14">
        <f t="shared" ref="J9" si="1">I9+2</f>
        <v>85</v>
      </c>
      <c r="K9" s="14">
        <f>J9+1</f>
        <v>86</v>
      </c>
      <c r="L9" s="14">
        <f>K9+1</f>
        <v>87</v>
      </c>
      <c r="M9" s="14">
        <f t="shared" ref="M9:N9" si="2">L9+1</f>
        <v>88</v>
      </c>
      <c r="N9" s="14">
        <f t="shared" si="2"/>
        <v>89</v>
      </c>
      <c r="O9" s="14">
        <f>N9+1</f>
        <v>90</v>
      </c>
      <c r="P9" s="14">
        <f>SUM(D9:O9)/12</f>
        <v>84.25</v>
      </c>
      <c r="Q9" s="4"/>
    </row>
    <row r="10" spans="1:17" ht="15.75">
      <c r="A10" s="5"/>
      <c r="B10" s="60" t="s">
        <v>51</v>
      </c>
      <c r="C10" s="13"/>
      <c r="D10" s="11">
        <f>D6*D9</f>
        <v>2635</v>
      </c>
      <c r="E10" s="14">
        <f t="shared" ref="E10:O10" si="3">E6*E9</f>
        <v>2184</v>
      </c>
      <c r="F10" s="14">
        <f t="shared" si="3"/>
        <v>2449</v>
      </c>
      <c r="G10" s="14">
        <f t="shared" si="3"/>
        <v>2400</v>
      </c>
      <c r="H10" s="14">
        <f t="shared" si="3"/>
        <v>2511</v>
      </c>
      <c r="I10" s="14">
        <f t="shared" si="3"/>
        <v>2490</v>
      </c>
      <c r="J10" s="14">
        <f t="shared" si="3"/>
        <v>2635</v>
      </c>
      <c r="K10" s="14">
        <f t="shared" si="3"/>
        <v>2666</v>
      </c>
      <c r="L10" s="14">
        <f t="shared" si="3"/>
        <v>2610</v>
      </c>
      <c r="M10" s="14">
        <f t="shared" si="3"/>
        <v>2728</v>
      </c>
      <c r="N10" s="14">
        <f t="shared" si="3"/>
        <v>2670</v>
      </c>
      <c r="O10" s="14">
        <f t="shared" si="3"/>
        <v>2790</v>
      </c>
      <c r="P10" s="14">
        <f>SUM(D10:O10)</f>
        <v>30768</v>
      </c>
      <c r="Q10" s="4"/>
    </row>
    <row r="11" spans="1:17" ht="15.75">
      <c r="A11" s="5"/>
      <c r="B11" s="60" t="s">
        <v>56</v>
      </c>
      <c r="C11" s="13"/>
      <c r="D11" s="11">
        <v>220000</v>
      </c>
      <c r="E11" s="14">
        <f>D11+1000</f>
        <v>221000</v>
      </c>
      <c r="F11" s="14">
        <f t="shared" ref="F11:O11" si="4">E11+1000</f>
        <v>222000</v>
      </c>
      <c r="G11" s="14">
        <f t="shared" si="4"/>
        <v>223000</v>
      </c>
      <c r="H11" s="14">
        <f t="shared" si="4"/>
        <v>224000</v>
      </c>
      <c r="I11" s="14">
        <f t="shared" si="4"/>
        <v>225000</v>
      </c>
      <c r="J11" s="14">
        <f t="shared" si="4"/>
        <v>226000</v>
      </c>
      <c r="K11" s="14">
        <f t="shared" si="4"/>
        <v>227000</v>
      </c>
      <c r="L11" s="14">
        <f t="shared" si="4"/>
        <v>228000</v>
      </c>
      <c r="M11" s="14">
        <f t="shared" si="4"/>
        <v>229000</v>
      </c>
      <c r="N11" s="14">
        <f t="shared" si="4"/>
        <v>230000</v>
      </c>
      <c r="O11" s="14">
        <f t="shared" si="4"/>
        <v>231000</v>
      </c>
      <c r="P11" s="14">
        <f>SUM(D11:O11)/12</f>
        <v>225500</v>
      </c>
      <c r="Q11" s="4"/>
    </row>
    <row r="12" spans="1:17" ht="15.75">
      <c r="A12" s="5"/>
      <c r="B12" s="60" t="s">
        <v>55</v>
      </c>
      <c r="C12" s="13"/>
      <c r="D12" s="11">
        <f t="shared" ref="D12:P12" si="5">D21/D10</f>
        <v>287496</v>
      </c>
      <c r="E12" s="14">
        <f t="shared" si="5"/>
        <v>299726.30769230769</v>
      </c>
      <c r="F12" s="14">
        <f t="shared" si="5"/>
        <v>295536.54634544713</v>
      </c>
      <c r="G12" s="14">
        <f t="shared" si="5"/>
        <v>298857.90000000002</v>
      </c>
      <c r="H12" s="14">
        <f t="shared" si="5"/>
        <v>298555.13978494622</v>
      </c>
      <c r="I12" s="14">
        <f t="shared" si="5"/>
        <v>301198.15662650601</v>
      </c>
      <c r="J12" s="14">
        <f t="shared" si="5"/>
        <v>300229.24098671728</v>
      </c>
      <c r="K12" s="14">
        <f t="shared" si="5"/>
        <v>301710.18679669918</v>
      </c>
      <c r="L12" s="14">
        <f t="shared" si="5"/>
        <v>305011.79310344829</v>
      </c>
      <c r="M12" s="14">
        <f t="shared" si="5"/>
        <v>304645.3548387097</v>
      </c>
      <c r="N12" s="14">
        <f t="shared" si="5"/>
        <v>307954.51685393258</v>
      </c>
      <c r="O12" s="14">
        <f t="shared" si="5"/>
        <v>307546.87096774194</v>
      </c>
      <c r="P12" s="14">
        <f t="shared" si="5"/>
        <v>300823.86212948518</v>
      </c>
      <c r="Q12" s="4"/>
    </row>
    <row r="13" spans="1:17" ht="15.75">
      <c r="A13" s="5"/>
      <c r="B13" s="60" t="s">
        <v>48</v>
      </c>
      <c r="C13" s="13"/>
      <c r="D13" s="11">
        <f t="shared" ref="D13:O13" si="6">D10*D11*0.6</f>
        <v>347820000</v>
      </c>
      <c r="E13" s="14">
        <f t="shared" si="6"/>
        <v>289598400</v>
      </c>
      <c r="F13" s="14">
        <f t="shared" si="6"/>
        <v>326206800</v>
      </c>
      <c r="G13" s="14">
        <f t="shared" si="6"/>
        <v>321120000</v>
      </c>
      <c r="H13" s="14">
        <f t="shared" si="6"/>
        <v>337478400</v>
      </c>
      <c r="I13" s="14">
        <f t="shared" si="6"/>
        <v>336150000</v>
      </c>
      <c r="J13" s="14">
        <f t="shared" si="6"/>
        <v>357306000</v>
      </c>
      <c r="K13" s="14">
        <f t="shared" si="6"/>
        <v>363109200</v>
      </c>
      <c r="L13" s="14">
        <f t="shared" si="6"/>
        <v>357048000</v>
      </c>
      <c r="M13" s="14">
        <f t="shared" si="6"/>
        <v>374827200</v>
      </c>
      <c r="N13" s="14">
        <f t="shared" si="6"/>
        <v>368460000</v>
      </c>
      <c r="O13" s="14">
        <f t="shared" si="6"/>
        <v>386694000</v>
      </c>
      <c r="P13" s="14">
        <f>SUM(D13:O13)</f>
        <v>4165818000</v>
      </c>
      <c r="Q13" s="4"/>
    </row>
    <row r="14" spans="1:17" ht="15.75">
      <c r="A14" s="5"/>
      <c r="B14" s="60" t="s">
        <v>49</v>
      </c>
      <c r="C14" s="13"/>
      <c r="D14" s="11">
        <f t="shared" ref="D14:O14" si="7">D10*D11*0.4</f>
        <v>231880000</v>
      </c>
      <c r="E14" s="14">
        <f t="shared" si="7"/>
        <v>193065600</v>
      </c>
      <c r="F14" s="14">
        <f t="shared" si="7"/>
        <v>217471200</v>
      </c>
      <c r="G14" s="14">
        <f t="shared" si="7"/>
        <v>214080000</v>
      </c>
      <c r="H14" s="14">
        <f t="shared" si="7"/>
        <v>224985600</v>
      </c>
      <c r="I14" s="14">
        <f t="shared" si="7"/>
        <v>224100000</v>
      </c>
      <c r="J14" s="14">
        <f t="shared" si="7"/>
        <v>238204000</v>
      </c>
      <c r="K14" s="14">
        <f t="shared" si="7"/>
        <v>242072800</v>
      </c>
      <c r="L14" s="14">
        <f t="shared" si="7"/>
        <v>238032000</v>
      </c>
      <c r="M14" s="14">
        <f t="shared" si="7"/>
        <v>249884800</v>
      </c>
      <c r="N14" s="14">
        <f t="shared" si="7"/>
        <v>245640000</v>
      </c>
      <c r="O14" s="14">
        <f t="shared" si="7"/>
        <v>257796000</v>
      </c>
      <c r="P14" s="14">
        <f>SUM(D14:O14)</f>
        <v>2777212000</v>
      </c>
      <c r="Q14" s="4"/>
    </row>
    <row r="15" spans="1:17" ht="15.75">
      <c r="A15" s="5"/>
      <c r="B15" s="60" t="s">
        <v>90</v>
      </c>
      <c r="C15" s="11"/>
      <c r="D15" s="14">
        <f>(D13+D14)*0.2</f>
        <v>115940000</v>
      </c>
      <c r="E15" s="14">
        <f>D15+2500000</f>
        <v>118440000</v>
      </c>
      <c r="F15" s="14">
        <f t="shared" ref="F15:O15" si="8">E15+2500000</f>
        <v>120940000</v>
      </c>
      <c r="G15" s="14">
        <f t="shared" si="8"/>
        <v>123440000</v>
      </c>
      <c r="H15" s="14">
        <f t="shared" si="8"/>
        <v>125940000</v>
      </c>
      <c r="I15" s="14">
        <f t="shared" si="8"/>
        <v>128440000</v>
      </c>
      <c r="J15" s="14">
        <f t="shared" si="8"/>
        <v>130940000</v>
      </c>
      <c r="K15" s="14">
        <f t="shared" si="8"/>
        <v>133440000</v>
      </c>
      <c r="L15" s="14">
        <f t="shared" si="8"/>
        <v>135940000</v>
      </c>
      <c r="M15" s="14">
        <f t="shared" si="8"/>
        <v>138440000</v>
      </c>
      <c r="N15" s="14">
        <f t="shared" si="8"/>
        <v>140940000</v>
      </c>
      <c r="O15" s="14">
        <f t="shared" si="8"/>
        <v>143440000</v>
      </c>
      <c r="P15" s="14">
        <f>SUM(D15:O15)</f>
        <v>1556280000</v>
      </c>
      <c r="Q15" s="4"/>
    </row>
    <row r="16" spans="1:17" ht="15.75">
      <c r="A16" s="5"/>
      <c r="B16" s="108" t="s">
        <v>85</v>
      </c>
      <c r="C16" s="114">
        <v>0.1</v>
      </c>
      <c r="D16" s="115">
        <f>-(D13+D14+D15)*$C$16</f>
        <v>-69564000</v>
      </c>
      <c r="E16" s="115">
        <f t="shared" ref="E16:O16" si="9">-(E13+E14+E15)*$C$16</f>
        <v>-60110400</v>
      </c>
      <c r="F16" s="115">
        <f t="shared" si="9"/>
        <v>-66461800</v>
      </c>
      <c r="G16" s="115">
        <f t="shared" si="9"/>
        <v>-65864000</v>
      </c>
      <c r="H16" s="115">
        <f t="shared" si="9"/>
        <v>-68840400</v>
      </c>
      <c r="I16" s="115">
        <f t="shared" si="9"/>
        <v>-68869000</v>
      </c>
      <c r="J16" s="115">
        <f t="shared" si="9"/>
        <v>-72645000</v>
      </c>
      <c r="K16" s="115">
        <f t="shared" si="9"/>
        <v>-73862200</v>
      </c>
      <c r="L16" s="115">
        <f t="shared" si="9"/>
        <v>-73102000</v>
      </c>
      <c r="M16" s="115">
        <f t="shared" si="9"/>
        <v>-76315200</v>
      </c>
      <c r="N16" s="115">
        <f t="shared" si="9"/>
        <v>-75504000</v>
      </c>
      <c r="O16" s="115">
        <f t="shared" si="9"/>
        <v>-78793000</v>
      </c>
      <c r="P16" s="109">
        <f>SUM(D16:O16)</f>
        <v>-849931000</v>
      </c>
      <c r="Q16" s="4"/>
    </row>
    <row r="17" spans="1:17" ht="16.5" thickBot="1">
      <c r="A17" s="5"/>
      <c r="B17" s="18" t="s">
        <v>14</v>
      </c>
      <c r="C17" s="16">
        <v>1</v>
      </c>
      <c r="D17" s="17">
        <f>D13+D14+D15+D16</f>
        <v>626076000</v>
      </c>
      <c r="E17" s="17">
        <f t="shared" ref="E17:O17" si="10">E13+E14+E15+E16</f>
        <v>540993600</v>
      </c>
      <c r="F17" s="17">
        <f t="shared" si="10"/>
        <v>598156200</v>
      </c>
      <c r="G17" s="17">
        <f t="shared" si="10"/>
        <v>592776000</v>
      </c>
      <c r="H17" s="17">
        <f t="shared" si="10"/>
        <v>619563600</v>
      </c>
      <c r="I17" s="17">
        <f t="shared" si="10"/>
        <v>619821000</v>
      </c>
      <c r="J17" s="17">
        <f t="shared" si="10"/>
        <v>653805000</v>
      </c>
      <c r="K17" s="17">
        <f t="shared" si="10"/>
        <v>664759800</v>
      </c>
      <c r="L17" s="17">
        <f t="shared" si="10"/>
        <v>657918000</v>
      </c>
      <c r="M17" s="17">
        <f t="shared" si="10"/>
        <v>686836800</v>
      </c>
      <c r="N17" s="17">
        <f t="shared" si="10"/>
        <v>679536000</v>
      </c>
      <c r="O17" s="17">
        <f t="shared" si="10"/>
        <v>709137000</v>
      </c>
      <c r="P17" s="25">
        <f>SUM(D17:O17)</f>
        <v>7649379000</v>
      </c>
      <c r="Q17" s="4"/>
    </row>
    <row r="18" spans="1:17" ht="16.5" thickTop="1">
      <c r="A18" s="5"/>
      <c r="B18" s="15" t="s">
        <v>39</v>
      </c>
      <c r="C18" s="16"/>
      <c r="D18" s="17">
        <f>D17</f>
        <v>626076000</v>
      </c>
      <c r="E18" s="17">
        <f t="shared" ref="E18:O18" si="11">D18+E17</f>
        <v>1167069600</v>
      </c>
      <c r="F18" s="17">
        <f t="shared" si="11"/>
        <v>1765225800</v>
      </c>
      <c r="G18" s="17">
        <f t="shared" si="11"/>
        <v>2358001800</v>
      </c>
      <c r="H18" s="17">
        <f t="shared" si="11"/>
        <v>2977565400</v>
      </c>
      <c r="I18" s="17">
        <f t="shared" si="11"/>
        <v>3597386400</v>
      </c>
      <c r="J18" s="17">
        <f t="shared" si="11"/>
        <v>4251191400</v>
      </c>
      <c r="K18" s="17">
        <f t="shared" si="11"/>
        <v>4915951200</v>
      </c>
      <c r="L18" s="17">
        <f t="shared" si="11"/>
        <v>5573869200</v>
      </c>
      <c r="M18" s="17">
        <f t="shared" si="11"/>
        <v>6260706000</v>
      </c>
      <c r="N18" s="17">
        <f t="shared" si="11"/>
        <v>6940242000</v>
      </c>
      <c r="O18" s="17">
        <f t="shared" si="11"/>
        <v>7649379000</v>
      </c>
      <c r="P18" s="17"/>
      <c r="Q18" s="4"/>
    </row>
    <row r="19" spans="1:17" ht="15.75">
      <c r="A19" s="5"/>
      <c r="B19" s="18" t="s">
        <v>15</v>
      </c>
      <c r="C19" s="19"/>
      <c r="D19" s="17">
        <f t="shared" ref="D19:O19" si="12">D10</f>
        <v>2635</v>
      </c>
      <c r="E19" s="17">
        <f t="shared" si="12"/>
        <v>2184</v>
      </c>
      <c r="F19" s="17">
        <f t="shared" si="12"/>
        <v>2449</v>
      </c>
      <c r="G19" s="17">
        <f t="shared" si="12"/>
        <v>2400</v>
      </c>
      <c r="H19" s="17">
        <f t="shared" si="12"/>
        <v>2511</v>
      </c>
      <c r="I19" s="17">
        <f t="shared" si="12"/>
        <v>2490</v>
      </c>
      <c r="J19" s="17">
        <f t="shared" si="12"/>
        <v>2635</v>
      </c>
      <c r="K19" s="17">
        <f t="shared" si="12"/>
        <v>2666</v>
      </c>
      <c r="L19" s="17">
        <f t="shared" si="12"/>
        <v>2610</v>
      </c>
      <c r="M19" s="17">
        <f t="shared" si="12"/>
        <v>2728</v>
      </c>
      <c r="N19" s="17">
        <f t="shared" si="12"/>
        <v>2670</v>
      </c>
      <c r="O19" s="17">
        <f t="shared" si="12"/>
        <v>2790</v>
      </c>
      <c r="P19" s="17">
        <f>SUM(D19:O19)</f>
        <v>30768</v>
      </c>
      <c r="Q19" s="4"/>
    </row>
    <row r="20" spans="1:17" ht="15.75">
      <c r="A20" s="5"/>
      <c r="B20" s="18" t="s">
        <v>16</v>
      </c>
      <c r="C20" s="16">
        <v>0.21</v>
      </c>
      <c r="D20" s="23">
        <f t="shared" ref="D20:P20" si="13">$C$20*D17</f>
        <v>131475960</v>
      </c>
      <c r="E20" s="17">
        <f t="shared" si="13"/>
        <v>113608656</v>
      </c>
      <c r="F20" s="17">
        <f t="shared" si="13"/>
        <v>125612802</v>
      </c>
      <c r="G20" s="17">
        <f t="shared" si="13"/>
        <v>124482960</v>
      </c>
      <c r="H20" s="17">
        <f t="shared" si="13"/>
        <v>130108356</v>
      </c>
      <c r="I20" s="17">
        <f t="shared" si="13"/>
        <v>130162410</v>
      </c>
      <c r="J20" s="17">
        <f t="shared" si="13"/>
        <v>137299050</v>
      </c>
      <c r="K20" s="17">
        <f t="shared" si="13"/>
        <v>139599558</v>
      </c>
      <c r="L20" s="17">
        <f t="shared" si="13"/>
        <v>138162780</v>
      </c>
      <c r="M20" s="17">
        <f t="shared" si="13"/>
        <v>144235728</v>
      </c>
      <c r="N20" s="17">
        <f t="shared" si="13"/>
        <v>142702560</v>
      </c>
      <c r="O20" s="17">
        <f t="shared" si="13"/>
        <v>148918770</v>
      </c>
      <c r="P20" s="25">
        <f t="shared" si="13"/>
        <v>1606369590</v>
      </c>
      <c r="Q20" s="4"/>
    </row>
    <row r="21" spans="1:17" ht="16.5" thickBot="1">
      <c r="A21" s="5"/>
      <c r="B21" s="27" t="s">
        <v>17</v>
      </c>
      <c r="C21" s="28"/>
      <c r="D21" s="29">
        <f t="shared" ref="D21:P21" si="14">D17+D20</f>
        <v>757551960</v>
      </c>
      <c r="E21" s="30">
        <f t="shared" si="14"/>
        <v>654602256</v>
      </c>
      <c r="F21" s="30">
        <f t="shared" si="14"/>
        <v>723769002</v>
      </c>
      <c r="G21" s="30">
        <f t="shared" si="14"/>
        <v>717258960</v>
      </c>
      <c r="H21" s="30">
        <f t="shared" si="14"/>
        <v>749671956</v>
      </c>
      <c r="I21" s="30">
        <f t="shared" si="14"/>
        <v>749983410</v>
      </c>
      <c r="J21" s="30">
        <f t="shared" si="14"/>
        <v>791104050</v>
      </c>
      <c r="K21" s="30">
        <f t="shared" si="14"/>
        <v>804359358</v>
      </c>
      <c r="L21" s="30">
        <f t="shared" si="14"/>
        <v>796080780</v>
      </c>
      <c r="M21" s="30">
        <f t="shared" si="14"/>
        <v>831072528</v>
      </c>
      <c r="N21" s="30">
        <f t="shared" si="14"/>
        <v>822238560</v>
      </c>
      <c r="O21" s="30">
        <f t="shared" si="14"/>
        <v>858055770</v>
      </c>
      <c r="P21" s="30">
        <f t="shared" si="14"/>
        <v>9255748590</v>
      </c>
      <c r="Q21" s="4"/>
    </row>
    <row r="22" spans="1:17" ht="17.25" thickTop="1" thickBot="1">
      <c r="A22" s="5"/>
      <c r="B22" s="27" t="s">
        <v>52</v>
      </c>
      <c r="C22" s="28"/>
      <c r="D22" s="29">
        <f>D21</f>
        <v>757551960</v>
      </c>
      <c r="E22" s="30">
        <f>D22+E21</f>
        <v>1412154216</v>
      </c>
      <c r="F22" s="30">
        <f t="shared" ref="F22:O22" si="15">E22+F21</f>
        <v>2135923218</v>
      </c>
      <c r="G22" s="30">
        <f t="shared" si="15"/>
        <v>2853182178</v>
      </c>
      <c r="H22" s="30">
        <f t="shared" si="15"/>
        <v>3602854134</v>
      </c>
      <c r="I22" s="30">
        <f t="shared" si="15"/>
        <v>4352837544</v>
      </c>
      <c r="J22" s="30">
        <f t="shared" si="15"/>
        <v>5143941594</v>
      </c>
      <c r="K22" s="30">
        <f t="shared" si="15"/>
        <v>5948300952</v>
      </c>
      <c r="L22" s="30">
        <f t="shared" si="15"/>
        <v>6744381732</v>
      </c>
      <c r="M22" s="30">
        <f t="shared" si="15"/>
        <v>7575454260</v>
      </c>
      <c r="N22" s="30">
        <f t="shared" si="15"/>
        <v>8397692820</v>
      </c>
      <c r="O22" s="30">
        <f t="shared" si="15"/>
        <v>9255748590</v>
      </c>
      <c r="P22" s="30"/>
      <c r="Q22" s="4"/>
    </row>
    <row r="23" spans="1:17" ht="17.25" thickTop="1" thickBot="1">
      <c r="A23" s="5"/>
      <c r="B23" s="186" t="s">
        <v>83</v>
      </c>
      <c r="C23" s="187"/>
      <c r="D23" s="188">
        <f>D21/D6</f>
        <v>24437160</v>
      </c>
      <c r="E23" s="188">
        <f t="shared" ref="E23:P23" si="16">E21/E6</f>
        <v>23378652</v>
      </c>
      <c r="F23" s="188">
        <f t="shared" si="16"/>
        <v>23347387.161290321</v>
      </c>
      <c r="G23" s="188">
        <f t="shared" si="16"/>
        <v>23908632</v>
      </c>
      <c r="H23" s="188">
        <f t="shared" si="16"/>
        <v>24182966.322580647</v>
      </c>
      <c r="I23" s="188">
        <f t="shared" si="16"/>
        <v>24999447</v>
      </c>
      <c r="J23" s="188">
        <f t="shared" si="16"/>
        <v>25519485.483870968</v>
      </c>
      <c r="K23" s="188">
        <f t="shared" si="16"/>
        <v>25947076.064516131</v>
      </c>
      <c r="L23" s="188">
        <f t="shared" si="16"/>
        <v>26536026</v>
      </c>
      <c r="M23" s="188">
        <f t="shared" si="16"/>
        <v>26808791.225806452</v>
      </c>
      <c r="N23" s="188">
        <f t="shared" si="16"/>
        <v>27407952</v>
      </c>
      <c r="O23" s="188">
        <f t="shared" si="16"/>
        <v>27679218.387096774</v>
      </c>
      <c r="P23" s="188">
        <f t="shared" si="16"/>
        <v>25358215.315068495</v>
      </c>
      <c r="Q23" s="4"/>
    </row>
    <row r="24" spans="1:17" ht="16.5" thickTop="1">
      <c r="A24" s="5"/>
      <c r="B24" s="61" t="s">
        <v>18</v>
      </c>
      <c r="C24" s="31"/>
      <c r="D24" s="11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52"/>
      <c r="Q24" s="4"/>
    </row>
    <row r="25" spans="1:17" ht="15.75">
      <c r="A25" s="5"/>
      <c r="B25" s="62" t="s">
        <v>59</v>
      </c>
      <c r="C25" s="31">
        <v>0.3</v>
      </c>
      <c r="D25" s="11">
        <f>(D17*0.6)*$C$25</f>
        <v>112693680</v>
      </c>
      <c r="E25" s="11">
        <f t="shared" ref="E25:O25" si="17">(E17*0.6)*$C$25</f>
        <v>97378848</v>
      </c>
      <c r="F25" s="11">
        <f t="shared" si="17"/>
        <v>107668116</v>
      </c>
      <c r="G25" s="11">
        <f t="shared" si="17"/>
        <v>106699680</v>
      </c>
      <c r="H25" s="11">
        <f t="shared" si="17"/>
        <v>111521448</v>
      </c>
      <c r="I25" s="11">
        <f t="shared" si="17"/>
        <v>111567780</v>
      </c>
      <c r="J25" s="11">
        <f t="shared" si="17"/>
        <v>117684900</v>
      </c>
      <c r="K25" s="11">
        <f t="shared" si="17"/>
        <v>119656764</v>
      </c>
      <c r="L25" s="11">
        <f t="shared" si="17"/>
        <v>118425240</v>
      </c>
      <c r="M25" s="11">
        <f t="shared" si="17"/>
        <v>123630624</v>
      </c>
      <c r="N25" s="11">
        <f t="shared" si="17"/>
        <v>122316480</v>
      </c>
      <c r="O25" s="11">
        <f t="shared" si="17"/>
        <v>127644660</v>
      </c>
      <c r="P25" s="14">
        <f>SUM(D25:O25)</f>
        <v>1376888220</v>
      </c>
      <c r="Q25" s="4"/>
    </row>
    <row r="26" spans="1:17" ht="15.75">
      <c r="A26" s="5"/>
      <c r="B26" s="62" t="s">
        <v>58</v>
      </c>
      <c r="C26" s="31">
        <v>0.27</v>
      </c>
      <c r="D26" s="11">
        <f>(D17*0.4)*$C$26</f>
        <v>67616208</v>
      </c>
      <c r="E26" s="11">
        <f t="shared" ref="E26:O26" si="18">(E17*0.4)*$C$26</f>
        <v>58427308.800000004</v>
      </c>
      <c r="F26" s="11">
        <f t="shared" si="18"/>
        <v>64600869.600000001</v>
      </c>
      <c r="G26" s="11">
        <f t="shared" si="18"/>
        <v>64019808.000000007</v>
      </c>
      <c r="H26" s="11">
        <f t="shared" si="18"/>
        <v>66912868.800000004</v>
      </c>
      <c r="I26" s="11">
        <f t="shared" si="18"/>
        <v>66940668.000000007</v>
      </c>
      <c r="J26" s="11">
        <f t="shared" si="18"/>
        <v>70610940</v>
      </c>
      <c r="K26" s="11">
        <f t="shared" si="18"/>
        <v>71794058.400000006</v>
      </c>
      <c r="L26" s="11">
        <f t="shared" si="18"/>
        <v>71055144</v>
      </c>
      <c r="M26" s="11">
        <f t="shared" si="18"/>
        <v>74178374.400000006</v>
      </c>
      <c r="N26" s="11">
        <f t="shared" si="18"/>
        <v>73389888</v>
      </c>
      <c r="O26" s="11">
        <f t="shared" si="18"/>
        <v>76586796</v>
      </c>
      <c r="P26" s="14">
        <f>SUM(D26:O26)</f>
        <v>826132932</v>
      </c>
      <c r="Q26" s="4"/>
    </row>
    <row r="27" spans="1:17" ht="15.75">
      <c r="A27" s="5"/>
      <c r="B27" s="62" t="s">
        <v>40</v>
      </c>
      <c r="C27" s="31">
        <v>0.02</v>
      </c>
      <c r="D27" s="11">
        <f t="shared" ref="D27:O27" si="19">D17*$C$27</f>
        <v>12521520</v>
      </c>
      <c r="E27" s="14">
        <f t="shared" si="19"/>
        <v>10819872</v>
      </c>
      <c r="F27" s="14">
        <f t="shared" si="19"/>
        <v>11963124</v>
      </c>
      <c r="G27" s="14">
        <f t="shared" si="19"/>
        <v>11855520</v>
      </c>
      <c r="H27" s="14">
        <f t="shared" si="19"/>
        <v>12391272</v>
      </c>
      <c r="I27" s="14">
        <f t="shared" si="19"/>
        <v>12396420</v>
      </c>
      <c r="J27" s="14">
        <f t="shared" si="19"/>
        <v>13076100</v>
      </c>
      <c r="K27" s="14">
        <f t="shared" si="19"/>
        <v>13295196</v>
      </c>
      <c r="L27" s="14">
        <f t="shared" si="19"/>
        <v>13158360</v>
      </c>
      <c r="M27" s="14">
        <f t="shared" si="19"/>
        <v>13736736</v>
      </c>
      <c r="N27" s="14">
        <f t="shared" si="19"/>
        <v>13590720</v>
      </c>
      <c r="O27" s="14">
        <f t="shared" si="19"/>
        <v>14182740</v>
      </c>
      <c r="P27" s="14">
        <f>SUM(D27:O27)</f>
        <v>152987580</v>
      </c>
      <c r="Q27" s="4"/>
    </row>
    <row r="28" spans="1:17" ht="15.75">
      <c r="A28" s="5"/>
      <c r="B28" s="179" t="s">
        <v>81</v>
      </c>
      <c r="C28" s="31">
        <v>2.1999999999999999E-2</v>
      </c>
      <c r="D28" s="11">
        <f>D17*$C$28</f>
        <v>13773672</v>
      </c>
      <c r="E28" s="11">
        <f t="shared" ref="E28:O28" si="20">E17*$C$28</f>
        <v>11901859.199999999</v>
      </c>
      <c r="F28" s="11">
        <f t="shared" si="20"/>
        <v>13159436.399999999</v>
      </c>
      <c r="G28" s="11">
        <f t="shared" si="20"/>
        <v>13041072</v>
      </c>
      <c r="H28" s="11">
        <f t="shared" si="20"/>
        <v>13630399.199999999</v>
      </c>
      <c r="I28" s="11">
        <f t="shared" si="20"/>
        <v>13636062</v>
      </c>
      <c r="J28" s="11">
        <f t="shared" si="20"/>
        <v>14383710</v>
      </c>
      <c r="K28" s="11">
        <f t="shared" si="20"/>
        <v>14624715.6</v>
      </c>
      <c r="L28" s="11">
        <f t="shared" si="20"/>
        <v>14474196</v>
      </c>
      <c r="M28" s="11">
        <f t="shared" si="20"/>
        <v>15110409.6</v>
      </c>
      <c r="N28" s="11">
        <f t="shared" si="20"/>
        <v>14949792</v>
      </c>
      <c r="O28" s="11">
        <f t="shared" si="20"/>
        <v>15601014</v>
      </c>
      <c r="P28" s="14">
        <f>SUM(D28:O28)</f>
        <v>168286338</v>
      </c>
      <c r="Q28" s="4"/>
    </row>
    <row r="29" spans="1:17" ht="16.5" thickBot="1">
      <c r="A29" s="5"/>
      <c r="B29" s="63" t="s">
        <v>19</v>
      </c>
      <c r="C29" s="33">
        <f>D29/D17</f>
        <v>0.33</v>
      </c>
      <c r="D29" s="34">
        <f>SUM(D25:D28)</f>
        <v>206605080</v>
      </c>
      <c r="E29" s="34">
        <f t="shared" ref="E29:P29" si="21">SUM(E25:E28)</f>
        <v>178527888</v>
      </c>
      <c r="F29" s="34">
        <f t="shared" si="21"/>
        <v>197391546</v>
      </c>
      <c r="G29" s="34">
        <f t="shared" si="21"/>
        <v>195616080</v>
      </c>
      <c r="H29" s="34">
        <f t="shared" si="21"/>
        <v>204455988</v>
      </c>
      <c r="I29" s="34">
        <f t="shared" si="21"/>
        <v>204540930</v>
      </c>
      <c r="J29" s="34">
        <f t="shared" si="21"/>
        <v>215755650</v>
      </c>
      <c r="K29" s="34">
        <f t="shared" si="21"/>
        <v>219370734</v>
      </c>
      <c r="L29" s="34">
        <f t="shared" si="21"/>
        <v>217112940</v>
      </c>
      <c r="M29" s="34">
        <f t="shared" si="21"/>
        <v>226656144</v>
      </c>
      <c r="N29" s="34">
        <f t="shared" si="21"/>
        <v>224246880</v>
      </c>
      <c r="O29" s="34">
        <f t="shared" si="21"/>
        <v>234015210</v>
      </c>
      <c r="P29" s="34">
        <f t="shared" si="21"/>
        <v>2524295070</v>
      </c>
      <c r="Q29" s="4"/>
    </row>
    <row r="30" spans="1:17" ht="16.5" thickTop="1">
      <c r="A30" s="5"/>
      <c r="B30" s="35" t="s">
        <v>20</v>
      </c>
      <c r="C30" s="36"/>
      <c r="D30" s="37">
        <f t="shared" ref="D30:P30" si="22">D17-D29</f>
        <v>419470920</v>
      </c>
      <c r="E30" s="37">
        <f t="shared" si="22"/>
        <v>362465712</v>
      </c>
      <c r="F30" s="37">
        <f t="shared" si="22"/>
        <v>400764654</v>
      </c>
      <c r="G30" s="37">
        <f t="shared" si="22"/>
        <v>397159920</v>
      </c>
      <c r="H30" s="37">
        <f t="shared" si="22"/>
        <v>415107612</v>
      </c>
      <c r="I30" s="37">
        <f t="shared" si="22"/>
        <v>415280070</v>
      </c>
      <c r="J30" s="37">
        <f t="shared" si="22"/>
        <v>438049350</v>
      </c>
      <c r="K30" s="37">
        <f t="shared" si="22"/>
        <v>445389066</v>
      </c>
      <c r="L30" s="37">
        <f t="shared" si="22"/>
        <v>440805060</v>
      </c>
      <c r="M30" s="37">
        <f t="shared" si="22"/>
        <v>460180656</v>
      </c>
      <c r="N30" s="37">
        <f t="shared" si="22"/>
        <v>455289120</v>
      </c>
      <c r="O30" s="37">
        <f t="shared" si="22"/>
        <v>475121790</v>
      </c>
      <c r="P30" s="37">
        <f t="shared" si="22"/>
        <v>5125083930</v>
      </c>
    </row>
    <row r="31" spans="1:17" ht="16.5" thickBot="1">
      <c r="A31" s="5"/>
      <c r="B31" s="39" t="s">
        <v>21</v>
      </c>
      <c r="C31" s="40">
        <f>1-C29</f>
        <v>0.66999999999999993</v>
      </c>
      <c r="D31" s="41">
        <f t="shared" ref="D31:P31" si="23">D30/D17</f>
        <v>0.67</v>
      </c>
      <c r="E31" s="42">
        <f t="shared" si="23"/>
        <v>0.67</v>
      </c>
      <c r="F31" s="42">
        <f t="shared" si="23"/>
        <v>0.67</v>
      </c>
      <c r="G31" s="42">
        <f t="shared" si="23"/>
        <v>0.67</v>
      </c>
      <c r="H31" s="42">
        <f t="shared" si="23"/>
        <v>0.67</v>
      </c>
      <c r="I31" s="42">
        <f t="shared" si="23"/>
        <v>0.67</v>
      </c>
      <c r="J31" s="42">
        <f t="shared" si="23"/>
        <v>0.67</v>
      </c>
      <c r="K31" s="42">
        <f t="shared" si="23"/>
        <v>0.67</v>
      </c>
      <c r="L31" s="42">
        <f t="shared" si="23"/>
        <v>0.67</v>
      </c>
      <c r="M31" s="42">
        <f t="shared" si="23"/>
        <v>0.67</v>
      </c>
      <c r="N31" s="42">
        <f t="shared" si="23"/>
        <v>0.67</v>
      </c>
      <c r="O31" s="42">
        <f t="shared" si="23"/>
        <v>0.67</v>
      </c>
      <c r="P31" s="42">
        <f t="shared" si="23"/>
        <v>0.67</v>
      </c>
      <c r="Q31" s="4"/>
    </row>
    <row r="32" spans="1:17" ht="16.5" thickTop="1">
      <c r="A32" s="5"/>
      <c r="B32" s="64" t="s">
        <v>22</v>
      </c>
      <c r="C32" s="32"/>
      <c r="D32" s="43"/>
      <c r="E32" s="51"/>
      <c r="F32" s="51"/>
      <c r="G32" s="51"/>
      <c r="H32" s="51"/>
      <c r="I32" s="51"/>
      <c r="J32" s="51"/>
      <c r="K32" s="51"/>
      <c r="L32" s="51"/>
      <c r="M32" s="51"/>
      <c r="N32" s="119"/>
      <c r="O32" s="50"/>
      <c r="P32" s="52"/>
      <c r="Q32" s="4"/>
    </row>
    <row r="33" spans="1:17" ht="15.75">
      <c r="A33" s="5"/>
      <c r="B33" s="47" t="s">
        <v>23</v>
      </c>
      <c r="C33" s="31"/>
      <c r="D33" s="11"/>
      <c r="E33" s="14"/>
      <c r="F33" s="14"/>
      <c r="G33" s="14"/>
      <c r="H33" s="14"/>
      <c r="I33" s="14"/>
      <c r="J33" s="14"/>
      <c r="K33" s="14"/>
      <c r="L33" s="14"/>
      <c r="M33" s="14"/>
      <c r="N33" s="120"/>
      <c r="O33" s="50"/>
      <c r="P33" s="52"/>
      <c r="Q33" s="4"/>
    </row>
    <row r="34" spans="1:17" ht="15.75">
      <c r="A34" s="5"/>
      <c r="B34" s="47" t="s">
        <v>36</v>
      </c>
      <c r="C34" s="44"/>
      <c r="D34" s="11">
        <v>2</v>
      </c>
      <c r="E34" s="11">
        <v>2</v>
      </c>
      <c r="F34" s="11">
        <v>2</v>
      </c>
      <c r="G34" s="11">
        <v>2</v>
      </c>
      <c r="H34" s="11">
        <v>2</v>
      </c>
      <c r="I34" s="11">
        <v>2</v>
      </c>
      <c r="J34" s="11">
        <v>2</v>
      </c>
      <c r="K34" s="11">
        <v>2</v>
      </c>
      <c r="L34" s="11">
        <v>2</v>
      </c>
      <c r="M34" s="11">
        <v>2</v>
      </c>
      <c r="N34" s="11">
        <v>2</v>
      </c>
      <c r="O34" s="11">
        <v>2</v>
      </c>
      <c r="P34" s="14">
        <f>SUM(D34:O34)/12</f>
        <v>2</v>
      </c>
      <c r="Q34" s="4"/>
    </row>
    <row r="35" spans="1:17" ht="15.75">
      <c r="A35" s="5"/>
      <c r="B35" s="47" t="s">
        <v>36</v>
      </c>
      <c r="C35" s="32">
        <v>17500000</v>
      </c>
      <c r="D35" s="11">
        <f t="shared" ref="D35:G35" si="24">(D34*$C$35)*1.1</f>
        <v>38500000</v>
      </c>
      <c r="E35" s="14">
        <f t="shared" si="24"/>
        <v>38500000</v>
      </c>
      <c r="F35" s="14">
        <f t="shared" si="24"/>
        <v>38500000</v>
      </c>
      <c r="G35" s="14">
        <f t="shared" si="24"/>
        <v>38500000</v>
      </c>
      <c r="H35" s="14">
        <f>(H34*$C$35)*1.1</f>
        <v>38500000</v>
      </c>
      <c r="I35" s="14">
        <f t="shared" ref="I35:O35" si="25">(I34*$C$35)*1.1</f>
        <v>38500000</v>
      </c>
      <c r="J35" s="14">
        <f t="shared" si="25"/>
        <v>38500000</v>
      </c>
      <c r="K35" s="14">
        <f t="shared" si="25"/>
        <v>38500000</v>
      </c>
      <c r="L35" s="14">
        <f t="shared" si="25"/>
        <v>38500000</v>
      </c>
      <c r="M35" s="14">
        <f t="shared" si="25"/>
        <v>38500000</v>
      </c>
      <c r="N35" s="14">
        <f t="shared" si="25"/>
        <v>38500000</v>
      </c>
      <c r="O35" s="14">
        <f t="shared" si="25"/>
        <v>38500000</v>
      </c>
      <c r="P35" s="14">
        <f>SUM(D35:O35)</f>
        <v>462000000</v>
      </c>
      <c r="Q35" s="4"/>
    </row>
    <row r="36" spans="1:17" ht="15.75">
      <c r="A36" s="5"/>
      <c r="B36" s="47" t="s">
        <v>80</v>
      </c>
      <c r="C36" s="32"/>
      <c r="D36" s="11">
        <v>2</v>
      </c>
      <c r="E36" s="14">
        <v>2</v>
      </c>
      <c r="F36" s="14">
        <v>2</v>
      </c>
      <c r="G36" s="14">
        <v>2</v>
      </c>
      <c r="H36" s="14">
        <v>2</v>
      </c>
      <c r="I36" s="14">
        <v>2</v>
      </c>
      <c r="J36" s="14">
        <v>2</v>
      </c>
      <c r="K36" s="14">
        <v>2</v>
      </c>
      <c r="L36" s="14">
        <v>2</v>
      </c>
      <c r="M36" s="14">
        <v>2</v>
      </c>
      <c r="N36" s="14">
        <v>2</v>
      </c>
      <c r="O36" s="14">
        <v>2</v>
      </c>
      <c r="P36" s="14">
        <v>2</v>
      </c>
      <c r="Q36" s="4"/>
    </row>
    <row r="37" spans="1:17" ht="15.75">
      <c r="A37" s="5"/>
      <c r="B37" s="47" t="s">
        <v>80</v>
      </c>
      <c r="C37" s="32">
        <v>6000000</v>
      </c>
      <c r="D37" s="11">
        <f t="shared" ref="D37:O37" si="26">(D36*$C$37)*1.1</f>
        <v>13200000.000000002</v>
      </c>
      <c r="E37" s="14">
        <f t="shared" si="26"/>
        <v>13200000.000000002</v>
      </c>
      <c r="F37" s="14">
        <f t="shared" si="26"/>
        <v>13200000.000000002</v>
      </c>
      <c r="G37" s="14">
        <f t="shared" si="26"/>
        <v>13200000.000000002</v>
      </c>
      <c r="H37" s="14">
        <f t="shared" si="26"/>
        <v>13200000.000000002</v>
      </c>
      <c r="I37" s="14">
        <f t="shared" si="26"/>
        <v>13200000.000000002</v>
      </c>
      <c r="J37" s="14">
        <f t="shared" si="26"/>
        <v>13200000.000000002</v>
      </c>
      <c r="K37" s="14">
        <f t="shared" si="26"/>
        <v>13200000.000000002</v>
      </c>
      <c r="L37" s="14">
        <f t="shared" si="26"/>
        <v>13200000.000000002</v>
      </c>
      <c r="M37" s="14">
        <f t="shared" si="26"/>
        <v>13200000.000000002</v>
      </c>
      <c r="N37" s="14">
        <f t="shared" si="26"/>
        <v>13200000.000000002</v>
      </c>
      <c r="O37" s="14">
        <f t="shared" si="26"/>
        <v>13200000.000000002</v>
      </c>
      <c r="P37" s="14">
        <f>SUM(D37:O37)</f>
        <v>158400000.00000003</v>
      </c>
      <c r="Q37" s="4"/>
    </row>
    <row r="38" spans="1:17" ht="15.75">
      <c r="A38" s="5"/>
      <c r="B38" s="47" t="s">
        <v>42</v>
      </c>
      <c r="C38" s="32"/>
      <c r="D38" s="11">
        <v>4</v>
      </c>
      <c r="E38" s="14">
        <v>4</v>
      </c>
      <c r="F38" s="14">
        <v>4</v>
      </c>
      <c r="G38" s="14">
        <v>4</v>
      </c>
      <c r="H38" s="14">
        <v>4</v>
      </c>
      <c r="I38" s="14">
        <v>4</v>
      </c>
      <c r="J38" s="14">
        <v>5</v>
      </c>
      <c r="K38" s="14">
        <v>5</v>
      </c>
      <c r="L38" s="14">
        <v>5</v>
      </c>
      <c r="M38" s="14">
        <v>5</v>
      </c>
      <c r="N38" s="14">
        <v>5</v>
      </c>
      <c r="O38" s="14">
        <v>5</v>
      </c>
      <c r="P38" s="14">
        <v>5</v>
      </c>
      <c r="Q38" s="4"/>
    </row>
    <row r="39" spans="1:17" ht="15.75">
      <c r="A39" s="5"/>
      <c r="B39" s="47" t="s">
        <v>42</v>
      </c>
      <c r="C39" s="32">
        <v>5000000</v>
      </c>
      <c r="D39" s="11">
        <f t="shared" ref="D39:O39" si="27">(D38*$C$39)*1.1</f>
        <v>22000000</v>
      </c>
      <c r="E39" s="14">
        <f t="shared" si="27"/>
        <v>22000000</v>
      </c>
      <c r="F39" s="14">
        <f t="shared" si="27"/>
        <v>22000000</v>
      </c>
      <c r="G39" s="14">
        <f t="shared" si="27"/>
        <v>22000000</v>
      </c>
      <c r="H39" s="14">
        <f t="shared" si="27"/>
        <v>22000000</v>
      </c>
      <c r="I39" s="14">
        <f t="shared" si="27"/>
        <v>22000000</v>
      </c>
      <c r="J39" s="14">
        <f t="shared" si="27"/>
        <v>27500000.000000004</v>
      </c>
      <c r="K39" s="14">
        <f t="shared" si="27"/>
        <v>27500000.000000004</v>
      </c>
      <c r="L39" s="14">
        <f t="shared" si="27"/>
        <v>27500000.000000004</v>
      </c>
      <c r="M39" s="14">
        <f t="shared" si="27"/>
        <v>27500000.000000004</v>
      </c>
      <c r="N39" s="14">
        <f t="shared" si="27"/>
        <v>27500000.000000004</v>
      </c>
      <c r="O39" s="14">
        <f t="shared" si="27"/>
        <v>27500000.000000004</v>
      </c>
      <c r="P39" s="14">
        <f>SUM(D39:O39)</f>
        <v>297000000</v>
      </c>
      <c r="Q39" s="4"/>
    </row>
    <row r="40" spans="1:17" ht="15.75">
      <c r="A40" s="5"/>
      <c r="B40" s="47" t="s">
        <v>24</v>
      </c>
      <c r="C40" s="44"/>
      <c r="D40" s="11">
        <v>3</v>
      </c>
      <c r="E40" s="14">
        <v>3</v>
      </c>
      <c r="F40" s="14">
        <v>3</v>
      </c>
      <c r="G40" s="14">
        <v>3</v>
      </c>
      <c r="H40" s="14">
        <v>3</v>
      </c>
      <c r="I40" s="14">
        <v>3</v>
      </c>
      <c r="J40" s="14">
        <v>3</v>
      </c>
      <c r="K40" s="14">
        <v>3</v>
      </c>
      <c r="L40" s="14">
        <v>3</v>
      </c>
      <c r="M40" s="14">
        <v>3</v>
      </c>
      <c r="N40" s="14">
        <v>3</v>
      </c>
      <c r="O40" s="14">
        <v>3</v>
      </c>
      <c r="P40" s="14">
        <f>SUM(D40:O40)/12</f>
        <v>3</v>
      </c>
      <c r="Q40" s="4"/>
    </row>
    <row r="41" spans="1:17" ht="15.75">
      <c r="A41" s="5"/>
      <c r="B41" s="47" t="s">
        <v>24</v>
      </c>
      <c r="C41" s="32">
        <v>5500000</v>
      </c>
      <c r="D41" s="11">
        <f t="shared" ref="D41:O41" si="28">(D40*$C$41)*1.1</f>
        <v>18150000</v>
      </c>
      <c r="E41" s="14">
        <f t="shared" si="28"/>
        <v>18150000</v>
      </c>
      <c r="F41" s="14">
        <f t="shared" si="28"/>
        <v>18150000</v>
      </c>
      <c r="G41" s="14">
        <f t="shared" si="28"/>
        <v>18150000</v>
      </c>
      <c r="H41" s="14">
        <f t="shared" si="28"/>
        <v>18150000</v>
      </c>
      <c r="I41" s="14">
        <f t="shared" si="28"/>
        <v>18150000</v>
      </c>
      <c r="J41" s="14">
        <f t="shared" si="28"/>
        <v>18150000</v>
      </c>
      <c r="K41" s="14">
        <f t="shared" si="28"/>
        <v>18150000</v>
      </c>
      <c r="L41" s="14">
        <f t="shared" si="28"/>
        <v>18150000</v>
      </c>
      <c r="M41" s="14">
        <f t="shared" si="28"/>
        <v>18150000</v>
      </c>
      <c r="N41" s="14">
        <f t="shared" si="28"/>
        <v>18150000</v>
      </c>
      <c r="O41" s="14">
        <f t="shared" si="28"/>
        <v>18150000</v>
      </c>
      <c r="P41" s="14">
        <f>SUM(D41:O41)</f>
        <v>217800000</v>
      </c>
      <c r="Q41" s="4"/>
    </row>
    <row r="42" spans="1:17" ht="15.75">
      <c r="A42" s="5"/>
      <c r="B42" s="47" t="s">
        <v>25</v>
      </c>
      <c r="C42" s="32"/>
      <c r="D42" s="11">
        <v>8</v>
      </c>
      <c r="E42" s="14">
        <v>8</v>
      </c>
      <c r="F42" s="14">
        <v>8</v>
      </c>
      <c r="G42" s="14">
        <v>8</v>
      </c>
      <c r="H42" s="14">
        <v>8</v>
      </c>
      <c r="I42" s="14">
        <v>9</v>
      </c>
      <c r="J42" s="14">
        <v>9</v>
      </c>
      <c r="K42" s="14">
        <v>9</v>
      </c>
      <c r="L42" s="14">
        <v>9</v>
      </c>
      <c r="M42" s="14">
        <v>9</v>
      </c>
      <c r="N42" s="14">
        <v>9</v>
      </c>
      <c r="O42" s="14">
        <v>9</v>
      </c>
      <c r="P42" s="14">
        <f>SUM(D42:O42)/12</f>
        <v>8.5833333333333339</v>
      </c>
      <c r="Q42" s="4"/>
    </row>
    <row r="43" spans="1:17" ht="15.75">
      <c r="A43" s="5"/>
      <c r="B43" s="47" t="s">
        <v>25</v>
      </c>
      <c r="C43" s="32">
        <v>6000000</v>
      </c>
      <c r="D43" s="11">
        <f t="shared" ref="D43:O43" si="29">(D42*$C$43)*1.1</f>
        <v>52800000.000000007</v>
      </c>
      <c r="E43" s="14">
        <f t="shared" si="29"/>
        <v>52800000.000000007</v>
      </c>
      <c r="F43" s="14">
        <f t="shared" si="29"/>
        <v>52800000.000000007</v>
      </c>
      <c r="G43" s="14">
        <f t="shared" si="29"/>
        <v>52800000.000000007</v>
      </c>
      <c r="H43" s="14">
        <f t="shared" si="29"/>
        <v>52800000.000000007</v>
      </c>
      <c r="I43" s="14">
        <f t="shared" si="29"/>
        <v>59400000.000000007</v>
      </c>
      <c r="J43" s="14">
        <f t="shared" si="29"/>
        <v>59400000.000000007</v>
      </c>
      <c r="K43" s="14">
        <f t="shared" si="29"/>
        <v>59400000.000000007</v>
      </c>
      <c r="L43" s="14">
        <f t="shared" si="29"/>
        <v>59400000.000000007</v>
      </c>
      <c r="M43" s="14">
        <f t="shared" si="29"/>
        <v>59400000.000000007</v>
      </c>
      <c r="N43" s="14">
        <f t="shared" si="29"/>
        <v>59400000.000000007</v>
      </c>
      <c r="O43" s="14">
        <f t="shared" si="29"/>
        <v>59400000.000000007</v>
      </c>
      <c r="P43" s="14">
        <f>SUM(D43:O43)</f>
        <v>679800000.00000012</v>
      </c>
      <c r="Q43" s="4"/>
    </row>
    <row r="44" spans="1:17" ht="15.75">
      <c r="A44" s="5"/>
      <c r="B44" s="47" t="s">
        <v>62</v>
      </c>
      <c r="C44" s="31">
        <v>0.1</v>
      </c>
      <c r="D44" s="14">
        <f>(D35+D37+D39+D41+D43)*$C$44</f>
        <v>14465000</v>
      </c>
      <c r="E44" s="14">
        <f t="shared" ref="E44:P44" si="30">(E35+E37+E39+E41+E43)*$C$44</f>
        <v>14465000</v>
      </c>
      <c r="F44" s="14">
        <f t="shared" si="30"/>
        <v>14465000</v>
      </c>
      <c r="G44" s="14">
        <f t="shared" si="30"/>
        <v>14465000</v>
      </c>
      <c r="H44" s="14">
        <f t="shared" si="30"/>
        <v>14465000</v>
      </c>
      <c r="I44" s="14">
        <f t="shared" si="30"/>
        <v>15125000</v>
      </c>
      <c r="J44" s="14">
        <f t="shared" si="30"/>
        <v>15675000</v>
      </c>
      <c r="K44" s="14">
        <f t="shared" si="30"/>
        <v>15675000</v>
      </c>
      <c r="L44" s="14">
        <f t="shared" si="30"/>
        <v>15675000</v>
      </c>
      <c r="M44" s="14">
        <f t="shared" si="30"/>
        <v>15675000</v>
      </c>
      <c r="N44" s="14">
        <f t="shared" si="30"/>
        <v>15675000</v>
      </c>
      <c r="O44" s="14">
        <f t="shared" si="30"/>
        <v>15675000</v>
      </c>
      <c r="P44" s="14">
        <f t="shared" si="30"/>
        <v>181500000</v>
      </c>
      <c r="Q44" s="4"/>
    </row>
    <row r="45" spans="1:17" ht="15.75">
      <c r="A45" s="5"/>
      <c r="B45" s="7" t="s">
        <v>26</v>
      </c>
      <c r="C45" s="165"/>
      <c r="D45" s="24">
        <f t="shared" ref="D45:P45" si="31">D3+D7+D34+D36+D38+D40+D42</f>
        <v>19</v>
      </c>
      <c r="E45" s="24">
        <f t="shared" si="31"/>
        <v>19</v>
      </c>
      <c r="F45" s="24">
        <f t="shared" si="31"/>
        <v>19</v>
      </c>
      <c r="G45" s="24">
        <f t="shared" si="31"/>
        <v>19</v>
      </c>
      <c r="H45" s="24">
        <f t="shared" si="31"/>
        <v>19</v>
      </c>
      <c r="I45" s="24">
        <f t="shared" si="31"/>
        <v>20</v>
      </c>
      <c r="J45" s="24">
        <f t="shared" si="31"/>
        <v>21</v>
      </c>
      <c r="K45" s="24">
        <f t="shared" si="31"/>
        <v>21</v>
      </c>
      <c r="L45" s="24">
        <f t="shared" si="31"/>
        <v>21</v>
      </c>
      <c r="M45" s="24">
        <f t="shared" si="31"/>
        <v>21</v>
      </c>
      <c r="N45" s="24">
        <f t="shared" si="31"/>
        <v>21</v>
      </c>
      <c r="O45" s="24">
        <f t="shared" si="31"/>
        <v>21</v>
      </c>
      <c r="P45" s="24">
        <f t="shared" si="31"/>
        <v>20.583333333333336</v>
      </c>
      <c r="Q45" s="4"/>
    </row>
    <row r="46" spans="1:17" ht="15.75">
      <c r="A46" s="5"/>
      <c r="B46" s="166"/>
      <c r="C46" s="26"/>
      <c r="D46" s="24">
        <f>D35+D37+D39+D41+D43+D44</f>
        <v>159115000</v>
      </c>
      <c r="E46" s="24">
        <f t="shared" ref="E46:P46" si="32">E35+E37+E39+E41+E43+E44</f>
        <v>159115000</v>
      </c>
      <c r="F46" s="24">
        <f t="shared" si="32"/>
        <v>159115000</v>
      </c>
      <c r="G46" s="24">
        <f t="shared" si="32"/>
        <v>159115000</v>
      </c>
      <c r="H46" s="24">
        <f t="shared" si="32"/>
        <v>159115000</v>
      </c>
      <c r="I46" s="24">
        <f t="shared" si="32"/>
        <v>166375000</v>
      </c>
      <c r="J46" s="24">
        <f t="shared" si="32"/>
        <v>172425000</v>
      </c>
      <c r="K46" s="24">
        <f t="shared" si="32"/>
        <v>172425000</v>
      </c>
      <c r="L46" s="24">
        <f t="shared" si="32"/>
        <v>172425000</v>
      </c>
      <c r="M46" s="24">
        <f t="shared" si="32"/>
        <v>172425000</v>
      </c>
      <c r="N46" s="24">
        <f t="shared" si="32"/>
        <v>172425000</v>
      </c>
      <c r="O46" s="24">
        <f t="shared" si="32"/>
        <v>172425000</v>
      </c>
      <c r="P46" s="24">
        <f t="shared" si="32"/>
        <v>1996500000</v>
      </c>
      <c r="Q46" s="4"/>
    </row>
    <row r="47" spans="1:17" ht="15.75">
      <c r="A47" s="5"/>
      <c r="B47" s="167"/>
      <c r="C47" s="16">
        <v>0.22</v>
      </c>
      <c r="D47" s="168">
        <f t="shared" ref="D47:P47" si="33">D46/D17</f>
        <v>0.25414646145196429</v>
      </c>
      <c r="E47" s="168">
        <f t="shared" si="33"/>
        <v>0.29411623353769806</v>
      </c>
      <c r="F47" s="168">
        <f t="shared" si="33"/>
        <v>0.26600911266990129</v>
      </c>
      <c r="G47" s="168">
        <f t="shared" si="33"/>
        <v>0.26842348543125905</v>
      </c>
      <c r="H47" s="168">
        <f t="shared" si="33"/>
        <v>0.25681786341224694</v>
      </c>
      <c r="I47" s="168">
        <f t="shared" si="33"/>
        <v>0.26842427087820514</v>
      </c>
      <c r="J47" s="168">
        <f t="shared" si="33"/>
        <v>0.26372542271778282</v>
      </c>
      <c r="K47" s="168">
        <f t="shared" si="33"/>
        <v>0.25937940290613243</v>
      </c>
      <c r="L47" s="168">
        <f t="shared" si="33"/>
        <v>0.26207673296672229</v>
      </c>
      <c r="M47" s="168">
        <f t="shared" si="33"/>
        <v>0.25104216896939707</v>
      </c>
      <c r="N47" s="168">
        <f t="shared" si="33"/>
        <v>0.25373931623931623</v>
      </c>
      <c r="O47" s="168">
        <f t="shared" si="33"/>
        <v>0.24314765694076038</v>
      </c>
      <c r="P47" s="168">
        <f t="shared" si="33"/>
        <v>0.26100157934389184</v>
      </c>
      <c r="Q47" s="4"/>
    </row>
    <row r="48" spans="1:17" ht="15.75">
      <c r="A48" s="5"/>
      <c r="B48" s="72" t="s">
        <v>43</v>
      </c>
      <c r="C48" s="47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50"/>
      <c r="Q48" s="4"/>
    </row>
    <row r="49" spans="1:17" ht="15.75">
      <c r="A49" s="5"/>
      <c r="B49" s="73" t="s">
        <v>27</v>
      </c>
      <c r="C49" s="31">
        <v>0.02</v>
      </c>
      <c r="D49" s="14">
        <f t="shared" ref="D49:O49" si="34">$C$49*D17</f>
        <v>12521520</v>
      </c>
      <c r="E49" s="14">
        <f t="shared" si="34"/>
        <v>10819872</v>
      </c>
      <c r="F49" s="14">
        <f t="shared" si="34"/>
        <v>11963124</v>
      </c>
      <c r="G49" s="14">
        <f t="shared" si="34"/>
        <v>11855520</v>
      </c>
      <c r="H49" s="14">
        <f t="shared" si="34"/>
        <v>12391272</v>
      </c>
      <c r="I49" s="14">
        <f t="shared" si="34"/>
        <v>12396420</v>
      </c>
      <c r="J49" s="14">
        <f t="shared" si="34"/>
        <v>13076100</v>
      </c>
      <c r="K49" s="14">
        <f t="shared" si="34"/>
        <v>13295196</v>
      </c>
      <c r="L49" s="14">
        <f t="shared" si="34"/>
        <v>13158360</v>
      </c>
      <c r="M49" s="14">
        <f t="shared" si="34"/>
        <v>13736736</v>
      </c>
      <c r="N49" s="14">
        <f t="shared" si="34"/>
        <v>13590720</v>
      </c>
      <c r="O49" s="14">
        <f t="shared" si="34"/>
        <v>14182740</v>
      </c>
      <c r="P49" s="14">
        <f>SUM(D49:O49)</f>
        <v>152987580</v>
      </c>
      <c r="Q49" s="4"/>
    </row>
    <row r="50" spans="1:17" ht="15.75">
      <c r="A50" s="5"/>
      <c r="B50" s="73" t="s">
        <v>28</v>
      </c>
      <c r="C50" s="31">
        <v>5.0000000000000001E-3</v>
      </c>
      <c r="D50" s="14">
        <f t="shared" ref="D50:O50" si="35">$C$50*D17</f>
        <v>3130380</v>
      </c>
      <c r="E50" s="14">
        <f t="shared" si="35"/>
        <v>2704968</v>
      </c>
      <c r="F50" s="14">
        <f t="shared" si="35"/>
        <v>2990781</v>
      </c>
      <c r="G50" s="14">
        <f t="shared" si="35"/>
        <v>2963880</v>
      </c>
      <c r="H50" s="14">
        <f t="shared" si="35"/>
        <v>3097818</v>
      </c>
      <c r="I50" s="14">
        <f t="shared" si="35"/>
        <v>3099105</v>
      </c>
      <c r="J50" s="14">
        <f t="shared" si="35"/>
        <v>3269025</v>
      </c>
      <c r="K50" s="14">
        <f t="shared" si="35"/>
        <v>3323799</v>
      </c>
      <c r="L50" s="14">
        <f t="shared" si="35"/>
        <v>3289590</v>
      </c>
      <c r="M50" s="14">
        <f t="shared" si="35"/>
        <v>3434184</v>
      </c>
      <c r="N50" s="14">
        <f t="shared" si="35"/>
        <v>3397680</v>
      </c>
      <c r="O50" s="14">
        <f t="shared" si="35"/>
        <v>3545685</v>
      </c>
      <c r="P50" s="14">
        <f>SUM(D50:O50)</f>
        <v>38246895</v>
      </c>
      <c r="Q50" s="4"/>
    </row>
    <row r="51" spans="1:17" ht="15.75">
      <c r="A51" s="5"/>
      <c r="B51" s="73"/>
      <c r="C51" s="31"/>
      <c r="D51" s="51">
        <f t="shared" ref="D51:O51" si="36">SUM(D49:D50)</f>
        <v>15651900</v>
      </c>
      <c r="E51" s="51">
        <f t="shared" si="36"/>
        <v>13524840</v>
      </c>
      <c r="F51" s="51">
        <f t="shared" si="36"/>
        <v>14953905</v>
      </c>
      <c r="G51" s="51">
        <f t="shared" si="36"/>
        <v>14819400</v>
      </c>
      <c r="H51" s="51">
        <f t="shared" si="36"/>
        <v>15489090</v>
      </c>
      <c r="I51" s="51">
        <f t="shared" si="36"/>
        <v>15495525</v>
      </c>
      <c r="J51" s="51">
        <f t="shared" si="36"/>
        <v>16345125</v>
      </c>
      <c r="K51" s="51">
        <f t="shared" si="36"/>
        <v>16618995</v>
      </c>
      <c r="L51" s="51">
        <f t="shared" si="36"/>
        <v>16447950</v>
      </c>
      <c r="M51" s="51">
        <f t="shared" si="36"/>
        <v>17170920</v>
      </c>
      <c r="N51" s="51">
        <f t="shared" si="36"/>
        <v>16988400</v>
      </c>
      <c r="O51" s="51">
        <f t="shared" si="36"/>
        <v>17728425</v>
      </c>
      <c r="P51" s="51">
        <f>SUM(D51:O51)</f>
        <v>191234475</v>
      </c>
      <c r="Q51" s="4"/>
    </row>
    <row r="52" spans="1:17" ht="15.75">
      <c r="A52" s="5"/>
      <c r="B52" s="72" t="s">
        <v>44</v>
      </c>
      <c r="C52" s="31"/>
      <c r="D52" s="75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4"/>
    </row>
    <row r="53" spans="1:17" ht="15.75">
      <c r="A53" s="5"/>
      <c r="B53" s="73" t="s">
        <v>45</v>
      </c>
      <c r="C53" s="31"/>
      <c r="D53" s="14">
        <f t="shared" ref="D53:O53" si="37">D17*0.1</f>
        <v>62607600</v>
      </c>
      <c r="E53" s="14">
        <f t="shared" si="37"/>
        <v>54099360</v>
      </c>
      <c r="F53" s="14">
        <f t="shared" si="37"/>
        <v>59815620</v>
      </c>
      <c r="G53" s="14">
        <f t="shared" si="37"/>
        <v>59277600</v>
      </c>
      <c r="H53" s="14">
        <f t="shared" si="37"/>
        <v>61956360</v>
      </c>
      <c r="I53" s="14">
        <f t="shared" si="37"/>
        <v>61982100</v>
      </c>
      <c r="J53" s="14">
        <f t="shared" si="37"/>
        <v>65380500</v>
      </c>
      <c r="K53" s="14">
        <f t="shared" si="37"/>
        <v>66475980</v>
      </c>
      <c r="L53" s="14">
        <f t="shared" si="37"/>
        <v>65791800</v>
      </c>
      <c r="M53" s="14">
        <f t="shared" si="37"/>
        <v>68683680</v>
      </c>
      <c r="N53" s="14">
        <f t="shared" si="37"/>
        <v>67953600</v>
      </c>
      <c r="O53" s="14">
        <f t="shared" si="37"/>
        <v>70913700</v>
      </c>
      <c r="P53" s="14">
        <f>SUM(D53:O53)</f>
        <v>764937900</v>
      </c>
      <c r="Q53" s="4"/>
    </row>
    <row r="54" spans="1:17" ht="15.75">
      <c r="A54" s="5"/>
      <c r="B54" s="73" t="s">
        <v>61</v>
      </c>
      <c r="C54" s="31"/>
      <c r="D54" s="14">
        <v>10000000</v>
      </c>
      <c r="E54" s="14">
        <v>10000000</v>
      </c>
      <c r="F54" s="14">
        <v>10000000</v>
      </c>
      <c r="G54" s="14">
        <v>10000000</v>
      </c>
      <c r="H54" s="14">
        <v>10000000</v>
      </c>
      <c r="I54" s="14">
        <v>10000000</v>
      </c>
      <c r="J54" s="14">
        <v>10000000</v>
      </c>
      <c r="K54" s="14">
        <v>10000000</v>
      </c>
      <c r="L54" s="14">
        <v>10000000</v>
      </c>
      <c r="M54" s="14">
        <v>10000000</v>
      </c>
      <c r="N54" s="14">
        <v>10000000</v>
      </c>
      <c r="O54" s="14">
        <v>10000000</v>
      </c>
      <c r="P54" s="14">
        <f>SUM(D54:O54)</f>
        <v>120000000</v>
      </c>
      <c r="Q54" s="4"/>
    </row>
    <row r="55" spans="1:17" ht="15.75">
      <c r="A55" s="5"/>
      <c r="B55" s="73" t="s">
        <v>67</v>
      </c>
      <c r="C55" s="31">
        <v>0.01</v>
      </c>
      <c r="D55" s="14">
        <f t="shared" ref="D55:O55" si="38">$C$55*D17</f>
        <v>6260760</v>
      </c>
      <c r="E55" s="14">
        <f t="shared" si="38"/>
        <v>5409936</v>
      </c>
      <c r="F55" s="14">
        <f t="shared" si="38"/>
        <v>5981562</v>
      </c>
      <c r="G55" s="14">
        <f t="shared" si="38"/>
        <v>5927760</v>
      </c>
      <c r="H55" s="14">
        <f t="shared" si="38"/>
        <v>6195636</v>
      </c>
      <c r="I55" s="14">
        <f t="shared" si="38"/>
        <v>6198210</v>
      </c>
      <c r="J55" s="14">
        <f t="shared" si="38"/>
        <v>6538050</v>
      </c>
      <c r="K55" s="14">
        <f t="shared" si="38"/>
        <v>6647598</v>
      </c>
      <c r="L55" s="14">
        <f t="shared" si="38"/>
        <v>6579180</v>
      </c>
      <c r="M55" s="14">
        <f t="shared" si="38"/>
        <v>6868368</v>
      </c>
      <c r="N55" s="14">
        <f t="shared" si="38"/>
        <v>6795360</v>
      </c>
      <c r="O55" s="14">
        <f t="shared" si="38"/>
        <v>7091370</v>
      </c>
      <c r="P55" s="14">
        <f>SUM(D55:O55)</f>
        <v>76493790</v>
      </c>
      <c r="Q55" s="4"/>
    </row>
    <row r="56" spans="1:17" ht="15.75">
      <c r="A56" s="5"/>
      <c r="B56" s="73" t="s">
        <v>47</v>
      </c>
      <c r="C56" s="31">
        <v>0.06</v>
      </c>
      <c r="D56" s="14">
        <f t="shared" ref="D56:O56" si="39">$C$56*D17</f>
        <v>37564560</v>
      </c>
      <c r="E56" s="14">
        <f t="shared" si="39"/>
        <v>32459616</v>
      </c>
      <c r="F56" s="14">
        <f t="shared" si="39"/>
        <v>35889372</v>
      </c>
      <c r="G56" s="14">
        <f t="shared" si="39"/>
        <v>35566560</v>
      </c>
      <c r="H56" s="14">
        <f t="shared" si="39"/>
        <v>37173816</v>
      </c>
      <c r="I56" s="14">
        <f t="shared" si="39"/>
        <v>37189260</v>
      </c>
      <c r="J56" s="14">
        <f t="shared" si="39"/>
        <v>39228300</v>
      </c>
      <c r="K56" s="14">
        <f t="shared" si="39"/>
        <v>39885588</v>
      </c>
      <c r="L56" s="14">
        <f t="shared" si="39"/>
        <v>39475080</v>
      </c>
      <c r="M56" s="14">
        <f t="shared" si="39"/>
        <v>41210208</v>
      </c>
      <c r="N56" s="14">
        <f t="shared" si="39"/>
        <v>40772160</v>
      </c>
      <c r="O56" s="14">
        <f t="shared" si="39"/>
        <v>42548220</v>
      </c>
      <c r="P56" s="14">
        <f>SUM(D56:O56)</f>
        <v>458962740</v>
      </c>
      <c r="Q56" s="4"/>
    </row>
    <row r="57" spans="1:17" ht="15.75">
      <c r="A57" s="5"/>
      <c r="B57" s="73"/>
      <c r="C57" s="31"/>
      <c r="D57" s="51">
        <f t="shared" ref="D57:O57" si="40">SUM(D53:D56)</f>
        <v>116432920</v>
      </c>
      <c r="E57" s="51">
        <f t="shared" si="40"/>
        <v>101968912</v>
      </c>
      <c r="F57" s="51">
        <f t="shared" si="40"/>
        <v>111686554</v>
      </c>
      <c r="G57" s="51">
        <f t="shared" si="40"/>
        <v>110771920</v>
      </c>
      <c r="H57" s="51">
        <f t="shared" si="40"/>
        <v>115325812</v>
      </c>
      <c r="I57" s="51">
        <f t="shared" si="40"/>
        <v>115369570</v>
      </c>
      <c r="J57" s="51">
        <f t="shared" si="40"/>
        <v>121146850</v>
      </c>
      <c r="K57" s="51">
        <f t="shared" si="40"/>
        <v>123009166</v>
      </c>
      <c r="L57" s="51">
        <f t="shared" si="40"/>
        <v>121846060</v>
      </c>
      <c r="M57" s="51">
        <f t="shared" si="40"/>
        <v>126762256</v>
      </c>
      <c r="N57" s="51">
        <f t="shared" si="40"/>
        <v>125521120</v>
      </c>
      <c r="O57" s="51">
        <f t="shared" si="40"/>
        <v>130553290</v>
      </c>
      <c r="P57" s="51">
        <f>SUM(D57:O57)</f>
        <v>1420394430</v>
      </c>
      <c r="Q57" s="4"/>
    </row>
    <row r="58" spans="1:17" ht="15.75">
      <c r="A58" s="5"/>
      <c r="B58" s="72" t="s">
        <v>29</v>
      </c>
      <c r="C58" s="31"/>
      <c r="D58" s="75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4"/>
    </row>
    <row r="59" spans="1:17" ht="15.75">
      <c r="A59" s="5"/>
      <c r="B59" s="73" t="s">
        <v>84</v>
      </c>
      <c r="C59" s="31">
        <v>0.02</v>
      </c>
      <c r="D59" s="14">
        <f t="shared" ref="D59:O59" si="41">$C$59*D17</f>
        <v>12521520</v>
      </c>
      <c r="E59" s="14">
        <f t="shared" si="41"/>
        <v>10819872</v>
      </c>
      <c r="F59" s="14">
        <f t="shared" si="41"/>
        <v>11963124</v>
      </c>
      <c r="G59" s="14">
        <f t="shared" si="41"/>
        <v>11855520</v>
      </c>
      <c r="H59" s="14">
        <f t="shared" si="41"/>
        <v>12391272</v>
      </c>
      <c r="I59" s="14">
        <f t="shared" si="41"/>
        <v>12396420</v>
      </c>
      <c r="J59" s="14">
        <f t="shared" si="41"/>
        <v>13076100</v>
      </c>
      <c r="K59" s="14">
        <f t="shared" si="41"/>
        <v>13295196</v>
      </c>
      <c r="L59" s="14">
        <f t="shared" si="41"/>
        <v>13158360</v>
      </c>
      <c r="M59" s="14">
        <f t="shared" si="41"/>
        <v>13736736</v>
      </c>
      <c r="N59" s="14">
        <f t="shared" si="41"/>
        <v>13590720</v>
      </c>
      <c r="O59" s="14">
        <f t="shared" si="41"/>
        <v>14182740</v>
      </c>
      <c r="P59" s="14">
        <f t="shared" ref="P59:P62" si="42">SUM(D59:O59)</f>
        <v>152987580</v>
      </c>
      <c r="Q59" s="4"/>
    </row>
    <row r="60" spans="1:17" ht="15.75">
      <c r="A60" s="5"/>
      <c r="B60" s="73" t="s">
        <v>31</v>
      </c>
      <c r="C60" s="31">
        <v>1.4999999999999999E-2</v>
      </c>
      <c r="D60" s="14">
        <f t="shared" ref="D60:O60" si="43">$C$60*D17</f>
        <v>9391140</v>
      </c>
      <c r="E60" s="14">
        <f t="shared" si="43"/>
        <v>8114904</v>
      </c>
      <c r="F60" s="14">
        <f t="shared" si="43"/>
        <v>8972343</v>
      </c>
      <c r="G60" s="14">
        <f t="shared" si="43"/>
        <v>8891640</v>
      </c>
      <c r="H60" s="14">
        <f t="shared" si="43"/>
        <v>9293454</v>
      </c>
      <c r="I60" s="14">
        <f t="shared" si="43"/>
        <v>9297315</v>
      </c>
      <c r="J60" s="14">
        <f t="shared" si="43"/>
        <v>9807075</v>
      </c>
      <c r="K60" s="14">
        <f t="shared" si="43"/>
        <v>9971397</v>
      </c>
      <c r="L60" s="14">
        <f t="shared" si="43"/>
        <v>9868770</v>
      </c>
      <c r="M60" s="14">
        <f t="shared" si="43"/>
        <v>10302552</v>
      </c>
      <c r="N60" s="14">
        <f t="shared" si="43"/>
        <v>10193040</v>
      </c>
      <c r="O60" s="14">
        <f t="shared" si="43"/>
        <v>10637055</v>
      </c>
      <c r="P60" s="14">
        <f t="shared" si="42"/>
        <v>114740685</v>
      </c>
      <c r="Q60" s="4"/>
    </row>
    <row r="61" spans="1:17" ht="15.75">
      <c r="A61" s="5"/>
      <c r="B61" s="73" t="s">
        <v>32</v>
      </c>
      <c r="C61" s="31">
        <v>0.02</v>
      </c>
      <c r="D61" s="14">
        <f t="shared" ref="D61:O61" si="44">$C$61*D17</f>
        <v>12521520</v>
      </c>
      <c r="E61" s="14">
        <f t="shared" si="44"/>
        <v>10819872</v>
      </c>
      <c r="F61" s="14">
        <f t="shared" si="44"/>
        <v>11963124</v>
      </c>
      <c r="G61" s="14">
        <f t="shared" si="44"/>
        <v>11855520</v>
      </c>
      <c r="H61" s="14">
        <f t="shared" si="44"/>
        <v>12391272</v>
      </c>
      <c r="I61" s="14">
        <f t="shared" si="44"/>
        <v>12396420</v>
      </c>
      <c r="J61" s="14">
        <f t="shared" si="44"/>
        <v>13076100</v>
      </c>
      <c r="K61" s="14">
        <f t="shared" si="44"/>
        <v>13295196</v>
      </c>
      <c r="L61" s="14">
        <f t="shared" si="44"/>
        <v>13158360</v>
      </c>
      <c r="M61" s="14">
        <f t="shared" si="44"/>
        <v>13736736</v>
      </c>
      <c r="N61" s="14">
        <f t="shared" si="44"/>
        <v>13590720</v>
      </c>
      <c r="O61" s="14">
        <f t="shared" si="44"/>
        <v>14182740</v>
      </c>
      <c r="P61" s="14">
        <f t="shared" si="42"/>
        <v>152987580</v>
      </c>
      <c r="Q61" s="4"/>
    </row>
    <row r="62" spans="1:17" ht="15.75">
      <c r="A62" s="5"/>
      <c r="B62" s="101" t="s">
        <v>33</v>
      </c>
      <c r="C62" s="102"/>
      <c r="D62" s="103">
        <f t="shared" ref="D62:O62" si="45">SUM(D59:D61)</f>
        <v>34434180</v>
      </c>
      <c r="E62" s="103">
        <f t="shared" si="45"/>
        <v>29754648</v>
      </c>
      <c r="F62" s="103">
        <f t="shared" si="45"/>
        <v>32898591</v>
      </c>
      <c r="G62" s="103">
        <f t="shared" si="45"/>
        <v>32602680</v>
      </c>
      <c r="H62" s="103">
        <f t="shared" si="45"/>
        <v>34075998</v>
      </c>
      <c r="I62" s="103">
        <f t="shared" si="45"/>
        <v>34090155</v>
      </c>
      <c r="J62" s="103">
        <f t="shared" si="45"/>
        <v>35959275</v>
      </c>
      <c r="K62" s="103">
        <f t="shared" si="45"/>
        <v>36561789</v>
      </c>
      <c r="L62" s="103">
        <f t="shared" si="45"/>
        <v>36185490</v>
      </c>
      <c r="M62" s="103">
        <f t="shared" si="45"/>
        <v>37776024</v>
      </c>
      <c r="N62" s="103">
        <f t="shared" si="45"/>
        <v>37374480</v>
      </c>
      <c r="O62" s="103">
        <f t="shared" si="45"/>
        <v>39002535</v>
      </c>
      <c r="P62" s="103">
        <f t="shared" si="42"/>
        <v>420715845</v>
      </c>
      <c r="Q62" s="4"/>
    </row>
    <row r="63" spans="1:17" ht="15.75">
      <c r="A63" s="5"/>
      <c r="B63" s="65" t="s">
        <v>37</v>
      </c>
      <c r="C63" s="66"/>
      <c r="D63" s="104">
        <f t="shared" ref="D63:P63" si="46">D51+D57+D62</f>
        <v>166519000</v>
      </c>
      <c r="E63" s="46">
        <f t="shared" si="46"/>
        <v>145248400</v>
      </c>
      <c r="F63" s="46">
        <f t="shared" si="46"/>
        <v>159539050</v>
      </c>
      <c r="G63" s="46">
        <f t="shared" si="46"/>
        <v>158194000</v>
      </c>
      <c r="H63" s="46">
        <f t="shared" si="46"/>
        <v>164890900</v>
      </c>
      <c r="I63" s="46">
        <f t="shared" si="46"/>
        <v>164955250</v>
      </c>
      <c r="J63" s="46">
        <f t="shared" si="46"/>
        <v>173451250</v>
      </c>
      <c r="K63" s="46">
        <f t="shared" si="46"/>
        <v>176189950</v>
      </c>
      <c r="L63" s="46">
        <f t="shared" si="46"/>
        <v>174479500</v>
      </c>
      <c r="M63" s="46">
        <f t="shared" si="46"/>
        <v>181709200</v>
      </c>
      <c r="N63" s="46">
        <f t="shared" si="46"/>
        <v>179884000</v>
      </c>
      <c r="O63" s="46">
        <f t="shared" si="46"/>
        <v>187284250</v>
      </c>
      <c r="P63" s="46">
        <f t="shared" si="46"/>
        <v>2032344750</v>
      </c>
      <c r="Q63" s="4"/>
    </row>
    <row r="64" spans="1:17" ht="16.5" thickBot="1">
      <c r="A64" s="5"/>
      <c r="B64" s="151"/>
      <c r="C64" s="110">
        <v>0.26</v>
      </c>
      <c r="D64" s="111">
        <f t="shared" ref="D64:P64" si="47">D63/D17</f>
        <v>0.26597250174100268</v>
      </c>
      <c r="E64" s="121">
        <f t="shared" si="47"/>
        <v>0.26848450702559146</v>
      </c>
      <c r="F64" s="121">
        <f t="shared" si="47"/>
        <v>0.2667180412072967</v>
      </c>
      <c r="G64" s="121">
        <f t="shared" si="47"/>
        <v>0.26686977880346036</v>
      </c>
      <c r="H64" s="121">
        <f t="shared" si="47"/>
        <v>0.26614039301211367</v>
      </c>
      <c r="I64" s="121">
        <f t="shared" si="47"/>
        <v>0.26613369021056077</v>
      </c>
      <c r="J64" s="121">
        <f t="shared" si="47"/>
        <v>0.26529508033740945</v>
      </c>
      <c r="K64" s="121">
        <f t="shared" si="47"/>
        <v>0.26504302757176351</v>
      </c>
      <c r="L64" s="121">
        <f t="shared" si="47"/>
        <v>0.26519946254700433</v>
      </c>
      <c r="M64" s="121">
        <f t="shared" si="47"/>
        <v>0.26455949943276191</v>
      </c>
      <c r="N64" s="121">
        <f t="shared" si="47"/>
        <v>0.2647159238068329</v>
      </c>
      <c r="O64" s="121">
        <f t="shared" si="47"/>
        <v>0.26410164749547688</v>
      </c>
      <c r="P64" s="110">
        <f t="shared" si="47"/>
        <v>0.26568754796958027</v>
      </c>
      <c r="Q64" s="4"/>
    </row>
    <row r="65" spans="1:17" ht="17.25" thickTop="1" thickBot="1">
      <c r="A65" s="5"/>
      <c r="B65" s="152" t="s">
        <v>77</v>
      </c>
      <c r="C65" s="86">
        <f>D65/D17</f>
        <v>5.5555555555555552E-2</v>
      </c>
      <c r="D65" s="155">
        <f>-D16*0.5</f>
        <v>34782000</v>
      </c>
      <c r="E65" s="155">
        <f t="shared" ref="E65:O65" si="48">-E16*0.5</f>
        <v>30055200</v>
      </c>
      <c r="F65" s="155">
        <f t="shared" si="48"/>
        <v>33230900</v>
      </c>
      <c r="G65" s="155">
        <f t="shared" si="48"/>
        <v>32932000</v>
      </c>
      <c r="H65" s="155">
        <f t="shared" si="48"/>
        <v>34420200</v>
      </c>
      <c r="I65" s="155">
        <f t="shared" si="48"/>
        <v>34434500</v>
      </c>
      <c r="J65" s="155">
        <f t="shared" si="48"/>
        <v>36322500</v>
      </c>
      <c r="K65" s="155">
        <f t="shared" si="48"/>
        <v>36931100</v>
      </c>
      <c r="L65" s="155">
        <f t="shared" si="48"/>
        <v>36551000</v>
      </c>
      <c r="M65" s="155">
        <f t="shared" si="48"/>
        <v>38157600</v>
      </c>
      <c r="N65" s="155">
        <f t="shared" si="48"/>
        <v>37752000</v>
      </c>
      <c r="O65" s="155">
        <f t="shared" si="48"/>
        <v>39396500</v>
      </c>
      <c r="P65" s="38">
        <f>SUM(D65:O65)</f>
        <v>424965500</v>
      </c>
      <c r="Q65" s="4"/>
    </row>
    <row r="66" spans="1:17" ht="16.5" thickTop="1">
      <c r="A66" s="5"/>
      <c r="B66" s="48" t="s">
        <v>34</v>
      </c>
      <c r="C66" s="36"/>
      <c r="D66" s="37">
        <f t="shared" ref="D66:O66" si="49">(D30+D65)-(D63+D46)</f>
        <v>128618920</v>
      </c>
      <c r="E66" s="37">
        <f t="shared" si="49"/>
        <v>88157512</v>
      </c>
      <c r="F66" s="37">
        <f t="shared" si="49"/>
        <v>115341504</v>
      </c>
      <c r="G66" s="37">
        <f t="shared" si="49"/>
        <v>112782920</v>
      </c>
      <c r="H66" s="37">
        <f t="shared" si="49"/>
        <v>125521912</v>
      </c>
      <c r="I66" s="37">
        <f t="shared" si="49"/>
        <v>118384320</v>
      </c>
      <c r="J66" s="37">
        <f t="shared" si="49"/>
        <v>128495600</v>
      </c>
      <c r="K66" s="37">
        <f t="shared" si="49"/>
        <v>133705216</v>
      </c>
      <c r="L66" s="37">
        <f t="shared" si="49"/>
        <v>130451560</v>
      </c>
      <c r="M66" s="37">
        <f t="shared" si="49"/>
        <v>144204056</v>
      </c>
      <c r="N66" s="37">
        <f t="shared" si="49"/>
        <v>140732120</v>
      </c>
      <c r="O66" s="37">
        <f t="shared" si="49"/>
        <v>154809040</v>
      </c>
      <c r="P66" s="38">
        <f>SUM(D66:O66)</f>
        <v>1521204680</v>
      </c>
      <c r="Q66" s="97"/>
    </row>
    <row r="67" spans="1:17" ht="16.5" thickBot="1">
      <c r="A67" s="5"/>
      <c r="B67" s="49" t="s">
        <v>35</v>
      </c>
      <c r="C67" s="40">
        <f>(C31+C65)-(C47+C64)</f>
        <v>0.24555555555555553</v>
      </c>
      <c r="D67" s="42">
        <f t="shared" ref="D67:P67" si="50">D66/D17</f>
        <v>0.20543659236258857</v>
      </c>
      <c r="E67" s="42">
        <f t="shared" si="50"/>
        <v>0.16295481499226608</v>
      </c>
      <c r="F67" s="42">
        <f t="shared" si="50"/>
        <v>0.1928284016783576</v>
      </c>
      <c r="G67" s="42">
        <f t="shared" si="50"/>
        <v>0.19026229132083619</v>
      </c>
      <c r="H67" s="42">
        <f t="shared" si="50"/>
        <v>0.20259729913119492</v>
      </c>
      <c r="I67" s="42">
        <f t="shared" si="50"/>
        <v>0.1909975944667896</v>
      </c>
      <c r="J67" s="42">
        <f t="shared" si="50"/>
        <v>0.19653505250036327</v>
      </c>
      <c r="K67" s="42">
        <f t="shared" si="50"/>
        <v>0.20113312507765962</v>
      </c>
      <c r="L67" s="42">
        <f t="shared" si="50"/>
        <v>0.19827936004182892</v>
      </c>
      <c r="M67" s="42">
        <f t="shared" si="50"/>
        <v>0.20995388715339655</v>
      </c>
      <c r="N67" s="42">
        <f t="shared" si="50"/>
        <v>0.20710031550940641</v>
      </c>
      <c r="O67" s="42">
        <f t="shared" si="50"/>
        <v>0.21830625111931826</v>
      </c>
      <c r="P67" s="42">
        <f t="shared" si="50"/>
        <v>0.19886642824208345</v>
      </c>
      <c r="Q67" s="4"/>
    </row>
    <row r="68" spans="1:17" ht="16.5" thickTop="1">
      <c r="A68" s="5"/>
      <c r="B68" s="88"/>
      <c r="C68" s="89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1"/>
      <c r="P68" s="96"/>
      <c r="Q68" s="76"/>
    </row>
    <row r="69" spans="1:17" ht="15.75" customHeight="1">
      <c r="B69" s="93" t="s">
        <v>69</v>
      </c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69"/>
      <c r="P69" s="107"/>
    </row>
    <row r="70" spans="1:17"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</row>
    <row r="71" spans="1:17" ht="15.75" customHeight="1">
      <c r="B71" s="93" t="s">
        <v>70</v>
      </c>
      <c r="C71" s="113"/>
      <c r="D71" s="112">
        <f t="shared" ref="D71:O71" si="51">D63+D46</f>
        <v>325634000</v>
      </c>
      <c r="E71" s="112">
        <f t="shared" si="51"/>
        <v>304363400</v>
      </c>
      <c r="F71" s="112">
        <f t="shared" si="51"/>
        <v>318654050</v>
      </c>
      <c r="G71" s="112">
        <f t="shared" si="51"/>
        <v>317309000</v>
      </c>
      <c r="H71" s="112">
        <f t="shared" si="51"/>
        <v>324005900</v>
      </c>
      <c r="I71" s="112">
        <f t="shared" si="51"/>
        <v>331330250</v>
      </c>
      <c r="J71" s="112">
        <f t="shared" si="51"/>
        <v>345876250</v>
      </c>
      <c r="K71" s="112">
        <f t="shared" si="51"/>
        <v>348614950</v>
      </c>
      <c r="L71" s="112">
        <f t="shared" si="51"/>
        <v>346904500</v>
      </c>
      <c r="M71" s="112">
        <f t="shared" si="51"/>
        <v>354134200</v>
      </c>
      <c r="N71" s="112">
        <f t="shared" si="51"/>
        <v>352309000</v>
      </c>
      <c r="O71" s="112">
        <f t="shared" si="51"/>
        <v>359709250</v>
      </c>
    </row>
    <row r="72" spans="1:17" ht="15.75" customHeight="1">
      <c r="B72" s="93" t="s">
        <v>72</v>
      </c>
      <c r="C72" s="93"/>
      <c r="D72" s="112">
        <f t="shared" ref="D72:O72" si="52">D29</f>
        <v>206605080</v>
      </c>
      <c r="E72" s="112">
        <f t="shared" si="52"/>
        <v>178527888</v>
      </c>
      <c r="F72" s="112">
        <f t="shared" si="52"/>
        <v>197391546</v>
      </c>
      <c r="G72" s="112">
        <f t="shared" si="52"/>
        <v>195616080</v>
      </c>
      <c r="H72" s="112">
        <f t="shared" si="52"/>
        <v>204455988</v>
      </c>
      <c r="I72" s="112">
        <f t="shared" si="52"/>
        <v>204540930</v>
      </c>
      <c r="J72" s="112">
        <f t="shared" si="52"/>
        <v>215755650</v>
      </c>
      <c r="K72" s="112">
        <f t="shared" si="52"/>
        <v>219370734</v>
      </c>
      <c r="L72" s="112">
        <f t="shared" si="52"/>
        <v>217112940</v>
      </c>
      <c r="M72" s="112">
        <f t="shared" si="52"/>
        <v>226656144</v>
      </c>
      <c r="N72" s="112">
        <f t="shared" si="52"/>
        <v>224246880</v>
      </c>
      <c r="O72" s="112">
        <f t="shared" si="52"/>
        <v>234015210</v>
      </c>
    </row>
    <row r="73" spans="1:17">
      <c r="B73" s="93"/>
      <c r="C73" s="93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</row>
    <row r="74" spans="1:17" ht="15.75" customHeight="1">
      <c r="B74" s="93" t="s">
        <v>71</v>
      </c>
      <c r="C74" s="93"/>
      <c r="D74" s="112">
        <f>(D72/0.69)+D71</f>
        <v>625061652.173913</v>
      </c>
      <c r="E74" s="112">
        <f t="shared" ref="E74:O74" si="53">(E72/0.69)+E71</f>
        <v>563099469.56521738</v>
      </c>
      <c r="F74" s="112">
        <f t="shared" si="53"/>
        <v>604728754.34782612</v>
      </c>
      <c r="G74" s="112">
        <f t="shared" si="53"/>
        <v>600810565.21739125</v>
      </c>
      <c r="H74" s="112">
        <f t="shared" si="53"/>
        <v>620318926.0869565</v>
      </c>
      <c r="I74" s="112">
        <f t="shared" si="53"/>
        <v>627766380.43478262</v>
      </c>
      <c r="J74" s="112">
        <f t="shared" si="53"/>
        <v>658565597.826087</v>
      </c>
      <c r="K74" s="112">
        <f t="shared" si="53"/>
        <v>666543550</v>
      </c>
      <c r="L74" s="112">
        <f t="shared" si="53"/>
        <v>661560934.78260875</v>
      </c>
      <c r="M74" s="112">
        <f t="shared" si="53"/>
        <v>682621365.21739125</v>
      </c>
      <c r="N74" s="112">
        <f t="shared" si="53"/>
        <v>677304478.2608695</v>
      </c>
      <c r="O74" s="112">
        <f t="shared" si="53"/>
        <v>698861728.2608695</v>
      </c>
    </row>
    <row r="75" spans="1:17" ht="15.75" customHeight="1">
      <c r="B75" s="93" t="s">
        <v>73</v>
      </c>
      <c r="C75" s="93"/>
      <c r="D75" s="112">
        <f t="shared" ref="D75:O75" si="54">D74/D6</f>
        <v>20163279.102384292</v>
      </c>
      <c r="E75" s="112">
        <f t="shared" si="54"/>
        <v>20110695.341614906</v>
      </c>
      <c r="F75" s="112">
        <f t="shared" si="54"/>
        <v>19507379.17251052</v>
      </c>
      <c r="G75" s="112">
        <f t="shared" si="54"/>
        <v>20027018.840579707</v>
      </c>
      <c r="H75" s="112">
        <f t="shared" si="54"/>
        <v>20010287.93828892</v>
      </c>
      <c r="I75" s="112">
        <f t="shared" si="54"/>
        <v>20925546.014492754</v>
      </c>
      <c r="J75" s="112">
        <f t="shared" si="54"/>
        <v>21244051.542776998</v>
      </c>
      <c r="K75" s="112">
        <f t="shared" si="54"/>
        <v>21501404.838709679</v>
      </c>
      <c r="L75" s="112">
        <f t="shared" si="54"/>
        <v>22052031.159420293</v>
      </c>
      <c r="M75" s="112">
        <f t="shared" si="54"/>
        <v>22020044.039270684</v>
      </c>
      <c r="N75" s="112">
        <f t="shared" si="54"/>
        <v>22576815.942028984</v>
      </c>
      <c r="O75" s="112">
        <f t="shared" si="54"/>
        <v>22543926.718092564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E972-38B2-48D1-B900-ED700DA6DD6E}">
  <dimension ref="A1:Q75"/>
  <sheetViews>
    <sheetView topLeftCell="A31" workbookViewId="0">
      <selection activeCell="L42" sqref="L42:P42"/>
    </sheetView>
  </sheetViews>
  <sheetFormatPr defaultRowHeight="12.75"/>
  <cols>
    <col min="1" max="1" width="2.7109375" customWidth="1"/>
    <col min="2" max="2" width="42.7109375" customWidth="1"/>
    <col min="3" max="3" width="14.42578125" customWidth="1"/>
    <col min="4" max="4" width="15.28515625" customWidth="1"/>
    <col min="5" max="5" width="15" customWidth="1"/>
    <col min="6" max="6" width="14.5703125" customWidth="1"/>
    <col min="7" max="7" width="14.85546875" customWidth="1"/>
    <col min="8" max="9" width="14.7109375" customWidth="1"/>
    <col min="10" max="10" width="15" customWidth="1"/>
    <col min="11" max="11" width="14.85546875" customWidth="1"/>
    <col min="12" max="12" width="14.5703125" customWidth="1"/>
    <col min="13" max="13" width="14.140625" customWidth="1"/>
    <col min="14" max="14" width="14.42578125" customWidth="1"/>
    <col min="15" max="15" width="15" customWidth="1"/>
    <col min="16" max="16" width="15.5703125" customWidth="1"/>
  </cols>
  <sheetData>
    <row r="1" spans="1:17" ht="18.75" customHeight="1"/>
    <row r="2" spans="1:17" ht="15.75" customHeight="1">
      <c r="A2" s="57"/>
      <c r="B2" s="69" t="s">
        <v>54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7" ht="15.75">
      <c r="A3" s="5"/>
      <c r="B3" s="6" t="s">
        <v>63</v>
      </c>
      <c r="C3" s="55"/>
      <c r="D3" s="11"/>
      <c r="E3" s="11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3"/>
    </row>
    <row r="4" spans="1:17" ht="15.75">
      <c r="A4" s="5"/>
      <c r="B4" s="6" t="s">
        <v>68</v>
      </c>
      <c r="C4" s="55"/>
      <c r="D4" s="11"/>
      <c r="E4" s="11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3"/>
    </row>
    <row r="5" spans="1:17" ht="15.75">
      <c r="A5" s="5"/>
      <c r="B5" s="7" t="s">
        <v>64</v>
      </c>
      <c r="C5" s="8" t="s">
        <v>10</v>
      </c>
      <c r="D5" s="9" t="s">
        <v>11</v>
      </c>
      <c r="E5" s="9" t="s">
        <v>0</v>
      </c>
      <c r="F5" s="9" t="s">
        <v>1</v>
      </c>
      <c r="G5" s="9" t="s">
        <v>2</v>
      </c>
      <c r="H5" s="9" t="s">
        <v>3</v>
      </c>
      <c r="I5" s="9" t="s">
        <v>4</v>
      </c>
      <c r="J5" s="9" t="s">
        <v>5</v>
      </c>
      <c r="K5" s="9" t="s">
        <v>6</v>
      </c>
      <c r="L5" s="9" t="s">
        <v>7</v>
      </c>
      <c r="M5" s="9" t="s">
        <v>8</v>
      </c>
      <c r="N5" s="9" t="s">
        <v>9</v>
      </c>
      <c r="O5" s="9" t="s">
        <v>12</v>
      </c>
      <c r="P5" s="9" t="s">
        <v>65</v>
      </c>
      <c r="Q5" s="4"/>
    </row>
    <row r="6" spans="1:17" ht="15.75">
      <c r="A6" s="5"/>
      <c r="B6" s="7"/>
      <c r="C6" s="74"/>
      <c r="D6" s="58">
        <v>31</v>
      </c>
      <c r="E6" s="117">
        <v>28</v>
      </c>
      <c r="F6" s="117">
        <v>31</v>
      </c>
      <c r="G6" s="117">
        <v>30</v>
      </c>
      <c r="H6" s="117">
        <v>31</v>
      </c>
      <c r="I6" s="117">
        <v>30</v>
      </c>
      <c r="J6" s="117">
        <v>31</v>
      </c>
      <c r="K6" s="117">
        <v>31</v>
      </c>
      <c r="L6" s="117">
        <v>30</v>
      </c>
      <c r="M6" s="117">
        <v>31</v>
      </c>
      <c r="N6" s="117">
        <v>30</v>
      </c>
      <c r="O6" s="117">
        <v>31</v>
      </c>
      <c r="P6" s="53">
        <f>SUM(D6:O6)</f>
        <v>365</v>
      </c>
      <c r="Q6" s="4"/>
    </row>
    <row r="7" spans="1:17" ht="15.75">
      <c r="A7" s="5"/>
      <c r="B7" s="64" t="s">
        <v>38</v>
      </c>
      <c r="C7" s="10"/>
      <c r="D7" s="11"/>
      <c r="E7" s="14"/>
      <c r="F7" s="14"/>
      <c r="G7" s="14"/>
      <c r="H7" s="14"/>
      <c r="I7" s="14"/>
      <c r="J7" s="14"/>
      <c r="K7" s="14"/>
      <c r="L7" s="52"/>
      <c r="M7" s="50"/>
      <c r="N7" s="54"/>
      <c r="O7" s="54"/>
      <c r="P7" s="54"/>
      <c r="Q7" s="4"/>
    </row>
    <row r="8" spans="1:17" ht="15.75">
      <c r="A8" s="5"/>
      <c r="B8" s="59" t="s">
        <v>13</v>
      </c>
      <c r="C8" s="13"/>
      <c r="D8" s="11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52"/>
      <c r="Q8" s="4"/>
    </row>
    <row r="9" spans="1:17" ht="15.75">
      <c r="A9" s="5"/>
      <c r="B9" s="60" t="s">
        <v>50</v>
      </c>
      <c r="C9" s="13"/>
      <c r="D9" s="11">
        <v>90</v>
      </c>
      <c r="E9" s="14">
        <v>87</v>
      </c>
      <c r="F9" s="14">
        <f t="shared" ref="F9:H9" si="0">E9+1</f>
        <v>88</v>
      </c>
      <c r="G9" s="14">
        <f t="shared" si="0"/>
        <v>89</v>
      </c>
      <c r="H9" s="14">
        <f t="shared" si="0"/>
        <v>90</v>
      </c>
      <c r="I9" s="14">
        <f>H9+2</f>
        <v>92</v>
      </c>
      <c r="J9" s="14">
        <f t="shared" ref="J9" si="1">I9+2</f>
        <v>94</v>
      </c>
      <c r="K9" s="14">
        <f>J9+1</f>
        <v>95</v>
      </c>
      <c r="L9" s="14">
        <f>K9+1</f>
        <v>96</v>
      </c>
      <c r="M9" s="14">
        <f t="shared" ref="M9:N9" si="2">L9+1</f>
        <v>97</v>
      </c>
      <c r="N9" s="14">
        <f t="shared" si="2"/>
        <v>98</v>
      </c>
      <c r="O9" s="14">
        <f>N9+2</f>
        <v>100</v>
      </c>
      <c r="P9" s="14">
        <f>SUM(D9:O9)/12</f>
        <v>93</v>
      </c>
      <c r="Q9" s="4"/>
    </row>
    <row r="10" spans="1:17" ht="15.75">
      <c r="A10" s="5"/>
      <c r="B10" s="60" t="s">
        <v>51</v>
      </c>
      <c r="C10" s="13"/>
      <c r="D10" s="11">
        <f>D6*D9</f>
        <v>2790</v>
      </c>
      <c r="E10" s="14">
        <f t="shared" ref="E10:O10" si="3">E6*E9</f>
        <v>2436</v>
      </c>
      <c r="F10" s="14">
        <f t="shared" si="3"/>
        <v>2728</v>
      </c>
      <c r="G10" s="14">
        <f t="shared" si="3"/>
        <v>2670</v>
      </c>
      <c r="H10" s="14">
        <f t="shared" si="3"/>
        <v>2790</v>
      </c>
      <c r="I10" s="14">
        <f t="shared" si="3"/>
        <v>2760</v>
      </c>
      <c r="J10" s="14">
        <f t="shared" si="3"/>
        <v>2914</v>
      </c>
      <c r="K10" s="14">
        <f t="shared" si="3"/>
        <v>2945</v>
      </c>
      <c r="L10" s="14">
        <f t="shared" si="3"/>
        <v>2880</v>
      </c>
      <c r="M10" s="14">
        <f t="shared" si="3"/>
        <v>3007</v>
      </c>
      <c r="N10" s="14">
        <f t="shared" si="3"/>
        <v>2940</v>
      </c>
      <c r="O10" s="14">
        <f t="shared" si="3"/>
        <v>3100</v>
      </c>
      <c r="P10" s="14">
        <f>SUM(D10:O10)</f>
        <v>33960</v>
      </c>
      <c r="Q10" s="4"/>
    </row>
    <row r="11" spans="1:17" ht="15.75">
      <c r="A11" s="5"/>
      <c r="B11" s="60" t="s">
        <v>56</v>
      </c>
      <c r="C11" s="13"/>
      <c r="D11" s="11">
        <v>230000</v>
      </c>
      <c r="E11" s="14">
        <f>D11+1000</f>
        <v>231000</v>
      </c>
      <c r="F11" s="14">
        <f t="shared" ref="F11:O11" si="4">E11+1000</f>
        <v>232000</v>
      </c>
      <c r="G11" s="14">
        <f t="shared" si="4"/>
        <v>233000</v>
      </c>
      <c r="H11" s="14">
        <f t="shared" si="4"/>
        <v>234000</v>
      </c>
      <c r="I11" s="14">
        <f t="shared" si="4"/>
        <v>235000</v>
      </c>
      <c r="J11" s="14">
        <f t="shared" si="4"/>
        <v>236000</v>
      </c>
      <c r="K11" s="14">
        <f t="shared" si="4"/>
        <v>237000</v>
      </c>
      <c r="L11" s="14">
        <f t="shared" si="4"/>
        <v>238000</v>
      </c>
      <c r="M11" s="14">
        <f t="shared" si="4"/>
        <v>239000</v>
      </c>
      <c r="N11" s="14">
        <f t="shared" si="4"/>
        <v>240000</v>
      </c>
      <c r="O11" s="14">
        <f t="shared" si="4"/>
        <v>241000</v>
      </c>
      <c r="P11" s="14">
        <f>SUM(D11:O11)/12</f>
        <v>235500</v>
      </c>
      <c r="Q11" s="4"/>
    </row>
    <row r="12" spans="1:17" ht="15.75">
      <c r="A12" s="5"/>
      <c r="B12" s="60" t="s">
        <v>55</v>
      </c>
      <c r="C12" s="13"/>
      <c r="D12" s="11">
        <f t="shared" ref="D12:P12" si="5">D21/D10</f>
        <v>313087.5</v>
      </c>
      <c r="E12" s="14">
        <f t="shared" si="5"/>
        <v>314448.75</v>
      </c>
      <c r="F12" s="14">
        <f t="shared" si="5"/>
        <v>315810</v>
      </c>
      <c r="G12" s="14">
        <f t="shared" si="5"/>
        <v>317171.25</v>
      </c>
      <c r="H12" s="14">
        <f t="shared" si="5"/>
        <v>318532.5</v>
      </c>
      <c r="I12" s="14">
        <f t="shared" si="5"/>
        <v>319893.75</v>
      </c>
      <c r="J12" s="14">
        <f t="shared" si="5"/>
        <v>321255</v>
      </c>
      <c r="K12" s="14">
        <f t="shared" si="5"/>
        <v>322616.25</v>
      </c>
      <c r="L12" s="14">
        <f t="shared" si="5"/>
        <v>323977.5</v>
      </c>
      <c r="M12" s="14">
        <f t="shared" si="5"/>
        <v>325338.75</v>
      </c>
      <c r="N12" s="14">
        <f t="shared" si="5"/>
        <v>326700</v>
      </c>
      <c r="O12" s="14">
        <f t="shared" si="5"/>
        <v>328061.25</v>
      </c>
      <c r="P12" s="14">
        <f t="shared" si="5"/>
        <v>320806.2204063604</v>
      </c>
      <c r="Q12" s="4"/>
    </row>
    <row r="13" spans="1:17" ht="15.75">
      <c r="A13" s="5"/>
      <c r="B13" s="60" t="s">
        <v>48</v>
      </c>
      <c r="C13" s="13"/>
      <c r="D13" s="11">
        <f t="shared" ref="D13:O13" si="6">D10*D11*0.6</f>
        <v>385020000</v>
      </c>
      <c r="E13" s="14">
        <f t="shared" si="6"/>
        <v>337629600</v>
      </c>
      <c r="F13" s="14">
        <f t="shared" si="6"/>
        <v>379737600</v>
      </c>
      <c r="G13" s="14">
        <f t="shared" si="6"/>
        <v>373266000</v>
      </c>
      <c r="H13" s="14">
        <f t="shared" si="6"/>
        <v>391716000</v>
      </c>
      <c r="I13" s="14">
        <f t="shared" si="6"/>
        <v>389160000</v>
      </c>
      <c r="J13" s="14">
        <f t="shared" si="6"/>
        <v>412622400</v>
      </c>
      <c r="K13" s="14">
        <f t="shared" si="6"/>
        <v>418779000</v>
      </c>
      <c r="L13" s="14">
        <f t="shared" si="6"/>
        <v>411264000</v>
      </c>
      <c r="M13" s="14">
        <f t="shared" si="6"/>
        <v>431203800</v>
      </c>
      <c r="N13" s="14">
        <f t="shared" si="6"/>
        <v>423360000</v>
      </c>
      <c r="O13" s="14">
        <f t="shared" si="6"/>
        <v>448260000</v>
      </c>
      <c r="P13" s="14">
        <f>SUM(D13:O13)</f>
        <v>4802018400</v>
      </c>
      <c r="Q13" s="4"/>
    </row>
    <row r="14" spans="1:17" ht="15.75">
      <c r="A14" s="5"/>
      <c r="B14" s="60" t="s">
        <v>49</v>
      </c>
      <c r="C14" s="13"/>
      <c r="D14" s="11">
        <f t="shared" ref="D14:O14" si="7">D10*D11*0.4</f>
        <v>256680000</v>
      </c>
      <c r="E14" s="14">
        <f t="shared" si="7"/>
        <v>225086400</v>
      </c>
      <c r="F14" s="14">
        <f t="shared" si="7"/>
        <v>253158400</v>
      </c>
      <c r="G14" s="14">
        <f t="shared" si="7"/>
        <v>248844000</v>
      </c>
      <c r="H14" s="14">
        <f t="shared" si="7"/>
        <v>261144000</v>
      </c>
      <c r="I14" s="14">
        <f t="shared" si="7"/>
        <v>259440000</v>
      </c>
      <c r="J14" s="14">
        <f t="shared" si="7"/>
        <v>275081600</v>
      </c>
      <c r="K14" s="14">
        <f t="shared" si="7"/>
        <v>279186000</v>
      </c>
      <c r="L14" s="14">
        <f t="shared" si="7"/>
        <v>274176000</v>
      </c>
      <c r="M14" s="14">
        <f t="shared" si="7"/>
        <v>287469200</v>
      </c>
      <c r="N14" s="14">
        <f t="shared" si="7"/>
        <v>282240000</v>
      </c>
      <c r="O14" s="14">
        <f t="shared" si="7"/>
        <v>298840000</v>
      </c>
      <c r="P14" s="14">
        <f>SUM(D14:O14)</f>
        <v>3201345600</v>
      </c>
      <c r="Q14" s="4"/>
    </row>
    <row r="15" spans="1:17" ht="15.75">
      <c r="A15" s="5"/>
      <c r="B15" s="60" t="s">
        <v>90</v>
      </c>
      <c r="C15" s="11"/>
      <c r="D15" s="14">
        <f>(D13+D14)*0.25</f>
        <v>160425000</v>
      </c>
      <c r="E15" s="14">
        <f t="shared" ref="E15:O15" si="8">(E13+E14)*0.25</f>
        <v>140679000</v>
      </c>
      <c r="F15" s="14">
        <f t="shared" si="8"/>
        <v>158224000</v>
      </c>
      <c r="G15" s="14">
        <f t="shared" si="8"/>
        <v>155527500</v>
      </c>
      <c r="H15" s="14">
        <f t="shared" si="8"/>
        <v>163215000</v>
      </c>
      <c r="I15" s="14">
        <f t="shared" si="8"/>
        <v>162150000</v>
      </c>
      <c r="J15" s="14">
        <f t="shared" si="8"/>
        <v>171926000</v>
      </c>
      <c r="K15" s="14">
        <f t="shared" si="8"/>
        <v>174491250</v>
      </c>
      <c r="L15" s="14">
        <f t="shared" si="8"/>
        <v>171360000</v>
      </c>
      <c r="M15" s="14">
        <f t="shared" si="8"/>
        <v>179668250</v>
      </c>
      <c r="N15" s="14">
        <f t="shared" si="8"/>
        <v>176400000</v>
      </c>
      <c r="O15" s="14">
        <f t="shared" si="8"/>
        <v>186775000</v>
      </c>
      <c r="P15" s="14">
        <f>SUM(D15:O15)</f>
        <v>2000841000</v>
      </c>
      <c r="Q15" s="4"/>
    </row>
    <row r="16" spans="1:17" ht="15.75">
      <c r="A16" s="5"/>
      <c r="B16" s="108" t="s">
        <v>85</v>
      </c>
      <c r="C16" s="114">
        <v>0.1</v>
      </c>
      <c r="D16" s="115">
        <f>-(D13+D14+D15)*$C$16</f>
        <v>-80212500</v>
      </c>
      <c r="E16" s="115">
        <f t="shared" ref="E16:O16" si="9">-(E13+E14+E15)*$C$16</f>
        <v>-70339500</v>
      </c>
      <c r="F16" s="115">
        <f t="shared" si="9"/>
        <v>-79112000</v>
      </c>
      <c r="G16" s="115">
        <f t="shared" si="9"/>
        <v>-77763750</v>
      </c>
      <c r="H16" s="115">
        <f t="shared" si="9"/>
        <v>-81607500</v>
      </c>
      <c r="I16" s="115">
        <f t="shared" si="9"/>
        <v>-81075000</v>
      </c>
      <c r="J16" s="115">
        <f t="shared" si="9"/>
        <v>-85963000</v>
      </c>
      <c r="K16" s="115">
        <f t="shared" si="9"/>
        <v>-87245625</v>
      </c>
      <c r="L16" s="115">
        <f t="shared" si="9"/>
        <v>-85680000</v>
      </c>
      <c r="M16" s="115">
        <f t="shared" si="9"/>
        <v>-89834125</v>
      </c>
      <c r="N16" s="115">
        <f t="shared" si="9"/>
        <v>-88200000</v>
      </c>
      <c r="O16" s="115">
        <f t="shared" si="9"/>
        <v>-93387500</v>
      </c>
      <c r="P16" s="109">
        <f>SUM(D16:O16)</f>
        <v>-1000420500</v>
      </c>
      <c r="Q16" s="4"/>
    </row>
    <row r="17" spans="1:17" ht="16.5" thickBot="1">
      <c r="A17" s="5"/>
      <c r="B17" s="18" t="s">
        <v>14</v>
      </c>
      <c r="C17" s="16">
        <v>1</v>
      </c>
      <c r="D17" s="17">
        <f>D13+D14+D15+D16</f>
        <v>721912500</v>
      </c>
      <c r="E17" s="17">
        <f t="shared" ref="E17:O17" si="10">E13+E14+E15+E16</f>
        <v>633055500</v>
      </c>
      <c r="F17" s="17">
        <f t="shared" si="10"/>
        <v>712008000</v>
      </c>
      <c r="G17" s="17">
        <f t="shared" si="10"/>
        <v>699873750</v>
      </c>
      <c r="H17" s="17">
        <f t="shared" si="10"/>
        <v>734467500</v>
      </c>
      <c r="I17" s="17">
        <f t="shared" si="10"/>
        <v>729675000</v>
      </c>
      <c r="J17" s="17">
        <f t="shared" si="10"/>
        <v>773667000</v>
      </c>
      <c r="K17" s="17">
        <f t="shared" si="10"/>
        <v>785210625</v>
      </c>
      <c r="L17" s="17">
        <f t="shared" si="10"/>
        <v>771120000</v>
      </c>
      <c r="M17" s="17">
        <f t="shared" si="10"/>
        <v>808507125</v>
      </c>
      <c r="N17" s="17">
        <f t="shared" si="10"/>
        <v>793800000</v>
      </c>
      <c r="O17" s="17">
        <f t="shared" si="10"/>
        <v>840487500</v>
      </c>
      <c r="P17" s="25">
        <f>SUM(D17:O17)</f>
        <v>9003784500</v>
      </c>
      <c r="Q17" s="4"/>
    </row>
    <row r="18" spans="1:17" ht="16.5" thickTop="1">
      <c r="A18" s="5"/>
      <c r="B18" s="15" t="s">
        <v>39</v>
      </c>
      <c r="C18" s="16"/>
      <c r="D18" s="17">
        <f>D17</f>
        <v>721912500</v>
      </c>
      <c r="E18" s="17">
        <f t="shared" ref="E18:O18" si="11">D18+E17</f>
        <v>1354968000</v>
      </c>
      <c r="F18" s="17">
        <f t="shared" si="11"/>
        <v>2066976000</v>
      </c>
      <c r="G18" s="17">
        <f t="shared" si="11"/>
        <v>2766849750</v>
      </c>
      <c r="H18" s="17">
        <f t="shared" si="11"/>
        <v>3501317250</v>
      </c>
      <c r="I18" s="17">
        <f t="shared" si="11"/>
        <v>4230992250</v>
      </c>
      <c r="J18" s="17">
        <f t="shared" si="11"/>
        <v>5004659250</v>
      </c>
      <c r="K18" s="17">
        <f t="shared" si="11"/>
        <v>5789869875</v>
      </c>
      <c r="L18" s="17">
        <f t="shared" si="11"/>
        <v>6560989875</v>
      </c>
      <c r="M18" s="17">
        <f t="shared" si="11"/>
        <v>7369497000</v>
      </c>
      <c r="N18" s="17">
        <f t="shared" si="11"/>
        <v>8163297000</v>
      </c>
      <c r="O18" s="17">
        <f t="shared" si="11"/>
        <v>9003784500</v>
      </c>
      <c r="P18" s="17"/>
      <c r="Q18" s="4"/>
    </row>
    <row r="19" spans="1:17" ht="15.75">
      <c r="A19" s="5"/>
      <c r="B19" s="18" t="s">
        <v>15</v>
      </c>
      <c r="C19" s="19"/>
      <c r="D19" s="17">
        <f t="shared" ref="D19:O19" si="12">D10</f>
        <v>2790</v>
      </c>
      <c r="E19" s="17">
        <f t="shared" si="12"/>
        <v>2436</v>
      </c>
      <c r="F19" s="17">
        <f t="shared" si="12"/>
        <v>2728</v>
      </c>
      <c r="G19" s="17">
        <f t="shared" si="12"/>
        <v>2670</v>
      </c>
      <c r="H19" s="17">
        <f t="shared" si="12"/>
        <v>2790</v>
      </c>
      <c r="I19" s="17">
        <f t="shared" si="12"/>
        <v>2760</v>
      </c>
      <c r="J19" s="17">
        <f t="shared" si="12"/>
        <v>2914</v>
      </c>
      <c r="K19" s="17">
        <f t="shared" si="12"/>
        <v>2945</v>
      </c>
      <c r="L19" s="17">
        <f t="shared" si="12"/>
        <v>2880</v>
      </c>
      <c r="M19" s="17">
        <f t="shared" si="12"/>
        <v>3007</v>
      </c>
      <c r="N19" s="17">
        <f t="shared" si="12"/>
        <v>2940</v>
      </c>
      <c r="O19" s="17">
        <f t="shared" si="12"/>
        <v>3100</v>
      </c>
      <c r="P19" s="17">
        <f>SUM(D19:O19)</f>
        <v>33960</v>
      </c>
      <c r="Q19" s="4"/>
    </row>
    <row r="20" spans="1:17" ht="15.75">
      <c r="A20" s="5"/>
      <c r="B20" s="18" t="s">
        <v>16</v>
      </c>
      <c r="C20" s="16">
        <v>0.21</v>
      </c>
      <c r="D20" s="23">
        <f t="shared" ref="D20:P20" si="13">$C$20*D17</f>
        <v>151601625</v>
      </c>
      <c r="E20" s="17">
        <f t="shared" si="13"/>
        <v>132941655</v>
      </c>
      <c r="F20" s="17">
        <f t="shared" si="13"/>
        <v>149521680</v>
      </c>
      <c r="G20" s="17">
        <f t="shared" si="13"/>
        <v>146973487.5</v>
      </c>
      <c r="H20" s="17">
        <f t="shared" si="13"/>
        <v>154238175</v>
      </c>
      <c r="I20" s="17">
        <f t="shared" si="13"/>
        <v>153231750</v>
      </c>
      <c r="J20" s="17">
        <f t="shared" si="13"/>
        <v>162470070</v>
      </c>
      <c r="K20" s="17">
        <f t="shared" si="13"/>
        <v>164894231.25</v>
      </c>
      <c r="L20" s="17">
        <f t="shared" si="13"/>
        <v>161935200</v>
      </c>
      <c r="M20" s="17">
        <f t="shared" si="13"/>
        <v>169786496.25</v>
      </c>
      <c r="N20" s="17">
        <f t="shared" si="13"/>
        <v>166698000</v>
      </c>
      <c r="O20" s="17">
        <f t="shared" si="13"/>
        <v>176502375</v>
      </c>
      <c r="P20" s="25">
        <f t="shared" si="13"/>
        <v>1890794745</v>
      </c>
      <c r="Q20" s="4"/>
    </row>
    <row r="21" spans="1:17" ht="16.5" thickBot="1">
      <c r="A21" s="5"/>
      <c r="B21" s="27" t="s">
        <v>17</v>
      </c>
      <c r="C21" s="28"/>
      <c r="D21" s="29">
        <f t="shared" ref="D21:P21" si="14">D17+D20</f>
        <v>873514125</v>
      </c>
      <c r="E21" s="30">
        <f t="shared" si="14"/>
        <v>765997155</v>
      </c>
      <c r="F21" s="30">
        <f t="shared" si="14"/>
        <v>861529680</v>
      </c>
      <c r="G21" s="30">
        <f t="shared" si="14"/>
        <v>846847237.5</v>
      </c>
      <c r="H21" s="30">
        <f t="shared" si="14"/>
        <v>888705675</v>
      </c>
      <c r="I21" s="30">
        <f t="shared" si="14"/>
        <v>882906750</v>
      </c>
      <c r="J21" s="30">
        <f t="shared" si="14"/>
        <v>936137070</v>
      </c>
      <c r="K21" s="30">
        <f t="shared" si="14"/>
        <v>950104856.25</v>
      </c>
      <c r="L21" s="30">
        <f t="shared" si="14"/>
        <v>933055200</v>
      </c>
      <c r="M21" s="30">
        <f t="shared" si="14"/>
        <v>978293621.25</v>
      </c>
      <c r="N21" s="30">
        <f t="shared" si="14"/>
        <v>960498000</v>
      </c>
      <c r="O21" s="30">
        <f t="shared" si="14"/>
        <v>1016989875</v>
      </c>
      <c r="P21" s="30">
        <f t="shared" si="14"/>
        <v>10894579245</v>
      </c>
      <c r="Q21" s="4"/>
    </row>
    <row r="22" spans="1:17" ht="17.25" thickTop="1" thickBot="1">
      <c r="A22" s="5"/>
      <c r="B22" s="27" t="s">
        <v>52</v>
      </c>
      <c r="C22" s="28"/>
      <c r="D22" s="29">
        <f>D21</f>
        <v>873514125</v>
      </c>
      <c r="E22" s="30">
        <f>D22+E21</f>
        <v>1639511280</v>
      </c>
      <c r="F22" s="30">
        <f t="shared" ref="F22:O22" si="15">E22+F21</f>
        <v>2501040960</v>
      </c>
      <c r="G22" s="30">
        <f t="shared" si="15"/>
        <v>3347888197.5</v>
      </c>
      <c r="H22" s="30">
        <f t="shared" si="15"/>
        <v>4236593872.5</v>
      </c>
      <c r="I22" s="30">
        <f t="shared" si="15"/>
        <v>5119500622.5</v>
      </c>
      <c r="J22" s="30">
        <f t="shared" si="15"/>
        <v>6055637692.5</v>
      </c>
      <c r="K22" s="30">
        <f t="shared" si="15"/>
        <v>7005742548.75</v>
      </c>
      <c r="L22" s="30">
        <f t="shared" si="15"/>
        <v>7938797748.75</v>
      </c>
      <c r="M22" s="30">
        <f t="shared" si="15"/>
        <v>8917091370</v>
      </c>
      <c r="N22" s="30">
        <f t="shared" si="15"/>
        <v>9877589370</v>
      </c>
      <c r="O22" s="30">
        <f t="shared" si="15"/>
        <v>10894579245</v>
      </c>
      <c r="P22" s="30"/>
      <c r="Q22" s="4"/>
    </row>
    <row r="23" spans="1:17" ht="17.25" thickTop="1" thickBot="1">
      <c r="A23" s="5"/>
      <c r="B23" s="186" t="s">
        <v>83</v>
      </c>
      <c r="C23" s="187"/>
      <c r="D23" s="188">
        <f>D21/D6</f>
        <v>28177875</v>
      </c>
      <c r="E23" s="188">
        <f t="shared" ref="E23:P23" si="16">E21/E6</f>
        <v>27357041.25</v>
      </c>
      <c r="F23" s="188">
        <f t="shared" si="16"/>
        <v>27791280</v>
      </c>
      <c r="G23" s="188">
        <f t="shared" si="16"/>
        <v>28228241.25</v>
      </c>
      <c r="H23" s="188">
        <f t="shared" si="16"/>
        <v>28667925</v>
      </c>
      <c r="I23" s="188">
        <f t="shared" si="16"/>
        <v>29430225</v>
      </c>
      <c r="J23" s="188">
        <f t="shared" si="16"/>
        <v>30197970</v>
      </c>
      <c r="K23" s="188">
        <f t="shared" si="16"/>
        <v>30648543.75</v>
      </c>
      <c r="L23" s="188">
        <f t="shared" si="16"/>
        <v>31101840</v>
      </c>
      <c r="M23" s="188">
        <f t="shared" si="16"/>
        <v>31557858.75</v>
      </c>
      <c r="N23" s="188">
        <f t="shared" si="16"/>
        <v>32016600</v>
      </c>
      <c r="O23" s="188">
        <f t="shared" si="16"/>
        <v>32806125</v>
      </c>
      <c r="P23" s="188">
        <f t="shared" si="16"/>
        <v>29848162.315068495</v>
      </c>
      <c r="Q23" s="4"/>
    </row>
    <row r="24" spans="1:17" ht="16.5" thickTop="1">
      <c r="A24" s="5"/>
      <c r="B24" s="61" t="s">
        <v>18</v>
      </c>
      <c r="C24" s="31"/>
      <c r="D24" s="11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52"/>
      <c r="Q24" s="4"/>
    </row>
    <row r="25" spans="1:17" ht="15.75">
      <c r="A25" s="5"/>
      <c r="B25" s="62" t="s">
        <v>59</v>
      </c>
      <c r="C25" s="31">
        <v>0.3</v>
      </c>
      <c r="D25" s="11">
        <f>(D17*0.6)*$C$25</f>
        <v>129944250</v>
      </c>
      <c r="E25" s="11">
        <f t="shared" ref="E25:O25" si="17">(E17*0.6)*$C$25</f>
        <v>113949990</v>
      </c>
      <c r="F25" s="11">
        <f t="shared" si="17"/>
        <v>128161440</v>
      </c>
      <c r="G25" s="11">
        <f t="shared" si="17"/>
        <v>125977275</v>
      </c>
      <c r="H25" s="11">
        <f t="shared" si="17"/>
        <v>132204150</v>
      </c>
      <c r="I25" s="11">
        <f t="shared" si="17"/>
        <v>131341500</v>
      </c>
      <c r="J25" s="11">
        <f t="shared" si="17"/>
        <v>139260060</v>
      </c>
      <c r="K25" s="11">
        <f t="shared" si="17"/>
        <v>141337912.5</v>
      </c>
      <c r="L25" s="11">
        <f t="shared" si="17"/>
        <v>138801600</v>
      </c>
      <c r="M25" s="11">
        <f t="shared" si="17"/>
        <v>145531282.5</v>
      </c>
      <c r="N25" s="11">
        <f t="shared" si="17"/>
        <v>142884000</v>
      </c>
      <c r="O25" s="11">
        <f t="shared" si="17"/>
        <v>151287750</v>
      </c>
      <c r="P25" s="14">
        <f>SUM(D25:O25)</f>
        <v>1620681210</v>
      </c>
      <c r="Q25" s="4"/>
    </row>
    <row r="26" spans="1:17" ht="15.75">
      <c r="A26" s="5"/>
      <c r="B26" s="62" t="s">
        <v>58</v>
      </c>
      <c r="C26" s="31">
        <v>0.27</v>
      </c>
      <c r="D26" s="11">
        <f>(D17*0.4)*$C$26</f>
        <v>77966550</v>
      </c>
      <c r="E26" s="11">
        <f t="shared" ref="E26:O26" si="18">(E17*0.4)*$C$26</f>
        <v>68369994</v>
      </c>
      <c r="F26" s="11">
        <f t="shared" si="18"/>
        <v>76896864</v>
      </c>
      <c r="G26" s="11">
        <f t="shared" si="18"/>
        <v>75586365</v>
      </c>
      <c r="H26" s="11">
        <f t="shared" si="18"/>
        <v>79322490</v>
      </c>
      <c r="I26" s="11">
        <f t="shared" si="18"/>
        <v>78804900</v>
      </c>
      <c r="J26" s="11">
        <f t="shared" si="18"/>
        <v>83556036</v>
      </c>
      <c r="K26" s="11">
        <f t="shared" si="18"/>
        <v>84802747.5</v>
      </c>
      <c r="L26" s="11">
        <f t="shared" si="18"/>
        <v>83280960</v>
      </c>
      <c r="M26" s="11">
        <f t="shared" si="18"/>
        <v>87318769.5</v>
      </c>
      <c r="N26" s="11">
        <f t="shared" si="18"/>
        <v>85730400</v>
      </c>
      <c r="O26" s="11">
        <f t="shared" si="18"/>
        <v>90772650</v>
      </c>
      <c r="P26" s="14">
        <f>SUM(D26:O26)</f>
        <v>972408726</v>
      </c>
      <c r="Q26" s="4"/>
    </row>
    <row r="27" spans="1:17" ht="15.75">
      <c r="A27" s="5"/>
      <c r="B27" s="62" t="s">
        <v>40</v>
      </c>
      <c r="C27" s="31">
        <v>0.02</v>
      </c>
      <c r="D27" s="11">
        <f t="shared" ref="D27:O27" si="19">D17*$C$27</f>
        <v>14438250</v>
      </c>
      <c r="E27" s="14">
        <f t="shared" si="19"/>
        <v>12661110</v>
      </c>
      <c r="F27" s="14">
        <f t="shared" si="19"/>
        <v>14240160</v>
      </c>
      <c r="G27" s="14">
        <f t="shared" si="19"/>
        <v>13997475</v>
      </c>
      <c r="H27" s="14">
        <f t="shared" si="19"/>
        <v>14689350</v>
      </c>
      <c r="I27" s="14">
        <f t="shared" si="19"/>
        <v>14593500</v>
      </c>
      <c r="J27" s="14">
        <f t="shared" si="19"/>
        <v>15473340</v>
      </c>
      <c r="K27" s="14">
        <f t="shared" si="19"/>
        <v>15704212.5</v>
      </c>
      <c r="L27" s="14">
        <f t="shared" si="19"/>
        <v>15422400</v>
      </c>
      <c r="M27" s="14">
        <f t="shared" si="19"/>
        <v>16170142.5</v>
      </c>
      <c r="N27" s="14">
        <f t="shared" si="19"/>
        <v>15876000</v>
      </c>
      <c r="O27" s="14">
        <f t="shared" si="19"/>
        <v>16809750</v>
      </c>
      <c r="P27" s="14">
        <f>SUM(D27:O27)</f>
        <v>180075690</v>
      </c>
      <c r="Q27" s="4"/>
    </row>
    <row r="28" spans="1:17" ht="15.75">
      <c r="A28" s="5"/>
      <c r="B28" s="179" t="s">
        <v>81</v>
      </c>
      <c r="C28" s="31">
        <v>2.1999999999999999E-2</v>
      </c>
      <c r="D28" s="11">
        <f>D17*$C$28</f>
        <v>15882075</v>
      </c>
      <c r="E28" s="11">
        <f t="shared" ref="E28:O28" si="20">E17*$C$28</f>
        <v>13927221</v>
      </c>
      <c r="F28" s="11">
        <f t="shared" si="20"/>
        <v>15664176</v>
      </c>
      <c r="G28" s="11">
        <f t="shared" si="20"/>
        <v>15397222.5</v>
      </c>
      <c r="H28" s="11">
        <f t="shared" si="20"/>
        <v>16158284.999999998</v>
      </c>
      <c r="I28" s="11">
        <f t="shared" si="20"/>
        <v>16052850</v>
      </c>
      <c r="J28" s="11">
        <f t="shared" si="20"/>
        <v>17020674</v>
      </c>
      <c r="K28" s="11">
        <f t="shared" si="20"/>
        <v>17274633.75</v>
      </c>
      <c r="L28" s="11">
        <f t="shared" si="20"/>
        <v>16964640</v>
      </c>
      <c r="M28" s="11">
        <f t="shared" si="20"/>
        <v>17787156.75</v>
      </c>
      <c r="N28" s="11">
        <f t="shared" si="20"/>
        <v>17463600</v>
      </c>
      <c r="O28" s="11">
        <f t="shared" si="20"/>
        <v>18490725</v>
      </c>
      <c r="P28" s="14">
        <f>SUM(D28:O28)</f>
        <v>198083259</v>
      </c>
      <c r="Q28" s="4"/>
    </row>
    <row r="29" spans="1:17" ht="16.5" thickBot="1">
      <c r="A29" s="5"/>
      <c r="B29" s="63" t="s">
        <v>19</v>
      </c>
      <c r="C29" s="33">
        <f>D29/D17</f>
        <v>0.33</v>
      </c>
      <c r="D29" s="34">
        <f>SUM(D25:D28)</f>
        <v>238231125</v>
      </c>
      <c r="E29" s="34">
        <f t="shared" ref="E29:P29" si="21">SUM(E25:E28)</f>
        <v>208908315</v>
      </c>
      <c r="F29" s="34">
        <f t="shared" si="21"/>
        <v>234962640</v>
      </c>
      <c r="G29" s="34">
        <f t="shared" si="21"/>
        <v>230958337.5</v>
      </c>
      <c r="H29" s="34">
        <f t="shared" si="21"/>
        <v>242374275</v>
      </c>
      <c r="I29" s="34">
        <f t="shared" si="21"/>
        <v>240792750</v>
      </c>
      <c r="J29" s="34">
        <f t="shared" si="21"/>
        <v>255310110</v>
      </c>
      <c r="K29" s="34">
        <f t="shared" si="21"/>
        <v>259119506.25</v>
      </c>
      <c r="L29" s="34">
        <f t="shared" si="21"/>
        <v>254469600</v>
      </c>
      <c r="M29" s="34">
        <f t="shared" si="21"/>
        <v>266807351.25</v>
      </c>
      <c r="N29" s="34">
        <f t="shared" si="21"/>
        <v>261954000</v>
      </c>
      <c r="O29" s="34">
        <f t="shared" si="21"/>
        <v>277360875</v>
      </c>
      <c r="P29" s="34">
        <f t="shared" si="21"/>
        <v>2971248885</v>
      </c>
      <c r="Q29" s="4"/>
    </row>
    <row r="30" spans="1:17" ht="16.5" thickTop="1">
      <c r="A30" s="5"/>
      <c r="B30" s="35" t="s">
        <v>20</v>
      </c>
      <c r="C30" s="36"/>
      <c r="D30" s="37">
        <f t="shared" ref="D30:P30" si="22">D17-D29</f>
        <v>483681375</v>
      </c>
      <c r="E30" s="37">
        <f t="shared" si="22"/>
        <v>424147185</v>
      </c>
      <c r="F30" s="37">
        <f t="shared" si="22"/>
        <v>477045360</v>
      </c>
      <c r="G30" s="37">
        <f t="shared" si="22"/>
        <v>468915412.5</v>
      </c>
      <c r="H30" s="37">
        <f t="shared" si="22"/>
        <v>492093225</v>
      </c>
      <c r="I30" s="37">
        <f t="shared" si="22"/>
        <v>488882250</v>
      </c>
      <c r="J30" s="37">
        <f t="shared" si="22"/>
        <v>518356890</v>
      </c>
      <c r="K30" s="37">
        <f t="shared" si="22"/>
        <v>526091118.75</v>
      </c>
      <c r="L30" s="37">
        <f t="shared" si="22"/>
        <v>516650400</v>
      </c>
      <c r="M30" s="37">
        <f t="shared" si="22"/>
        <v>541699773.75</v>
      </c>
      <c r="N30" s="37">
        <f t="shared" si="22"/>
        <v>531846000</v>
      </c>
      <c r="O30" s="37">
        <f t="shared" si="22"/>
        <v>563126625</v>
      </c>
      <c r="P30" s="37">
        <f t="shared" si="22"/>
        <v>6032535615</v>
      </c>
    </row>
    <row r="31" spans="1:17" ht="16.5" thickBot="1">
      <c r="A31" s="5"/>
      <c r="B31" s="39" t="s">
        <v>21</v>
      </c>
      <c r="C31" s="40">
        <f>1-C29</f>
        <v>0.66999999999999993</v>
      </c>
      <c r="D31" s="41">
        <f t="shared" ref="D31:P31" si="23">D30/D17</f>
        <v>0.67</v>
      </c>
      <c r="E31" s="42">
        <f t="shared" si="23"/>
        <v>0.67</v>
      </c>
      <c r="F31" s="42">
        <f t="shared" si="23"/>
        <v>0.67</v>
      </c>
      <c r="G31" s="42">
        <f t="shared" si="23"/>
        <v>0.67</v>
      </c>
      <c r="H31" s="42">
        <f t="shared" si="23"/>
        <v>0.67</v>
      </c>
      <c r="I31" s="42">
        <f t="shared" si="23"/>
        <v>0.67</v>
      </c>
      <c r="J31" s="42">
        <f t="shared" si="23"/>
        <v>0.67</v>
      </c>
      <c r="K31" s="42">
        <f t="shared" si="23"/>
        <v>0.67</v>
      </c>
      <c r="L31" s="42">
        <f t="shared" si="23"/>
        <v>0.67</v>
      </c>
      <c r="M31" s="42">
        <f t="shared" si="23"/>
        <v>0.67</v>
      </c>
      <c r="N31" s="42">
        <f t="shared" si="23"/>
        <v>0.67</v>
      </c>
      <c r="O31" s="42">
        <f t="shared" si="23"/>
        <v>0.67</v>
      </c>
      <c r="P31" s="42">
        <f t="shared" si="23"/>
        <v>0.67</v>
      </c>
      <c r="Q31" s="4"/>
    </row>
    <row r="32" spans="1:17" ht="16.5" thickTop="1">
      <c r="A32" s="5"/>
      <c r="B32" s="64" t="s">
        <v>22</v>
      </c>
      <c r="C32" s="32"/>
      <c r="D32" s="43"/>
      <c r="E32" s="51"/>
      <c r="F32" s="51"/>
      <c r="G32" s="51"/>
      <c r="H32" s="51"/>
      <c r="I32" s="51"/>
      <c r="J32" s="51"/>
      <c r="K32" s="51"/>
      <c r="L32" s="51"/>
      <c r="M32" s="51"/>
      <c r="N32" s="119"/>
      <c r="O32" s="50"/>
      <c r="P32" s="52"/>
      <c r="Q32" s="4"/>
    </row>
    <row r="33" spans="1:17" ht="15.75">
      <c r="A33" s="5"/>
      <c r="B33" s="47" t="s">
        <v>23</v>
      </c>
      <c r="C33" s="31"/>
      <c r="D33" s="11"/>
      <c r="E33" s="14"/>
      <c r="F33" s="14"/>
      <c r="G33" s="14"/>
      <c r="H33" s="14"/>
      <c r="I33" s="14"/>
      <c r="J33" s="14"/>
      <c r="K33" s="14"/>
      <c r="L33" s="14"/>
      <c r="M33" s="14"/>
      <c r="N33" s="120"/>
      <c r="O33" s="50"/>
      <c r="P33" s="52"/>
      <c r="Q33" s="4"/>
    </row>
    <row r="34" spans="1:17" ht="15.75">
      <c r="A34" s="5"/>
      <c r="B34" s="47" t="s">
        <v>36</v>
      </c>
      <c r="C34" s="44"/>
      <c r="D34" s="11">
        <v>2</v>
      </c>
      <c r="E34" s="11">
        <v>2</v>
      </c>
      <c r="F34" s="11">
        <v>2</v>
      </c>
      <c r="G34" s="11">
        <v>2</v>
      </c>
      <c r="H34" s="11">
        <v>2</v>
      </c>
      <c r="I34" s="11">
        <v>2</v>
      </c>
      <c r="J34" s="11">
        <v>2</v>
      </c>
      <c r="K34" s="11">
        <v>2</v>
      </c>
      <c r="L34" s="11">
        <v>2</v>
      </c>
      <c r="M34" s="11">
        <v>2</v>
      </c>
      <c r="N34" s="11">
        <v>2</v>
      </c>
      <c r="O34" s="11">
        <v>2</v>
      </c>
      <c r="P34" s="14">
        <f>SUM(D34:O34)/12</f>
        <v>2</v>
      </c>
      <c r="Q34" s="4"/>
    </row>
    <row r="35" spans="1:17" ht="15.75">
      <c r="A35" s="5"/>
      <c r="B35" s="47" t="s">
        <v>36</v>
      </c>
      <c r="C35" s="32">
        <v>17500000</v>
      </c>
      <c r="D35" s="11">
        <f t="shared" ref="D35:G35" si="24">(D34*$C$35)*1.1</f>
        <v>38500000</v>
      </c>
      <c r="E35" s="14">
        <f t="shared" si="24"/>
        <v>38500000</v>
      </c>
      <c r="F35" s="14">
        <f t="shared" si="24"/>
        <v>38500000</v>
      </c>
      <c r="G35" s="14">
        <f t="shared" si="24"/>
        <v>38500000</v>
      </c>
      <c r="H35" s="14">
        <f>(H34*$C$35)*1.1</f>
        <v>38500000</v>
      </c>
      <c r="I35" s="14">
        <f t="shared" ref="I35:O35" si="25">(I34*$C$35)*1.1</f>
        <v>38500000</v>
      </c>
      <c r="J35" s="14">
        <f t="shared" si="25"/>
        <v>38500000</v>
      </c>
      <c r="K35" s="14">
        <f t="shared" si="25"/>
        <v>38500000</v>
      </c>
      <c r="L35" s="14">
        <f t="shared" si="25"/>
        <v>38500000</v>
      </c>
      <c r="M35" s="14">
        <f t="shared" si="25"/>
        <v>38500000</v>
      </c>
      <c r="N35" s="14">
        <f t="shared" si="25"/>
        <v>38500000</v>
      </c>
      <c r="O35" s="14">
        <f t="shared" si="25"/>
        <v>38500000</v>
      </c>
      <c r="P35" s="14">
        <f>SUM(D35:O35)</f>
        <v>462000000</v>
      </c>
      <c r="Q35" s="4"/>
    </row>
    <row r="36" spans="1:17" ht="15.75">
      <c r="A36" s="5"/>
      <c r="B36" s="47" t="s">
        <v>80</v>
      </c>
      <c r="C36" s="32"/>
      <c r="D36" s="11">
        <v>2</v>
      </c>
      <c r="E36" s="14">
        <v>2</v>
      </c>
      <c r="F36" s="14">
        <v>2</v>
      </c>
      <c r="G36" s="14">
        <v>2</v>
      </c>
      <c r="H36" s="14">
        <v>2</v>
      </c>
      <c r="I36" s="14">
        <v>2</v>
      </c>
      <c r="J36" s="14">
        <v>2</v>
      </c>
      <c r="K36" s="14">
        <v>2</v>
      </c>
      <c r="L36" s="14">
        <v>2</v>
      </c>
      <c r="M36" s="14">
        <v>2</v>
      </c>
      <c r="N36" s="14">
        <v>2</v>
      </c>
      <c r="O36" s="14">
        <v>2</v>
      </c>
      <c r="P36" s="14">
        <v>2</v>
      </c>
      <c r="Q36" s="4"/>
    </row>
    <row r="37" spans="1:17" ht="15.75">
      <c r="A37" s="5"/>
      <c r="B37" s="47" t="s">
        <v>80</v>
      </c>
      <c r="C37" s="32">
        <v>6500000</v>
      </c>
      <c r="D37" s="11">
        <f t="shared" ref="D37:O37" si="26">(D36*$C$37)*1.1</f>
        <v>14300000.000000002</v>
      </c>
      <c r="E37" s="14">
        <f t="shared" si="26"/>
        <v>14300000.000000002</v>
      </c>
      <c r="F37" s="14">
        <f t="shared" si="26"/>
        <v>14300000.000000002</v>
      </c>
      <c r="G37" s="14">
        <f t="shared" si="26"/>
        <v>14300000.000000002</v>
      </c>
      <c r="H37" s="14">
        <f t="shared" si="26"/>
        <v>14300000.000000002</v>
      </c>
      <c r="I37" s="14">
        <f t="shared" si="26"/>
        <v>14300000.000000002</v>
      </c>
      <c r="J37" s="14">
        <f t="shared" si="26"/>
        <v>14300000.000000002</v>
      </c>
      <c r="K37" s="14">
        <f t="shared" si="26"/>
        <v>14300000.000000002</v>
      </c>
      <c r="L37" s="14">
        <f t="shared" si="26"/>
        <v>14300000.000000002</v>
      </c>
      <c r="M37" s="14">
        <f t="shared" si="26"/>
        <v>14300000.000000002</v>
      </c>
      <c r="N37" s="14">
        <f t="shared" si="26"/>
        <v>14300000.000000002</v>
      </c>
      <c r="O37" s="14">
        <f t="shared" si="26"/>
        <v>14300000.000000002</v>
      </c>
      <c r="P37" s="14">
        <f>SUM(D37:O37)</f>
        <v>171600000.00000003</v>
      </c>
      <c r="Q37" s="4"/>
    </row>
    <row r="38" spans="1:17" ht="15.75">
      <c r="A38" s="5"/>
      <c r="B38" s="47" t="s">
        <v>42</v>
      </c>
      <c r="C38" s="32"/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1">
        <v>5</v>
      </c>
      <c r="K38" s="11">
        <v>5</v>
      </c>
      <c r="L38" s="11">
        <v>5</v>
      </c>
      <c r="M38" s="11">
        <v>5</v>
      </c>
      <c r="N38" s="11">
        <v>5</v>
      </c>
      <c r="O38" s="11">
        <v>5</v>
      </c>
      <c r="P38" s="11">
        <v>5</v>
      </c>
      <c r="Q38" s="4"/>
    </row>
    <row r="39" spans="1:17" ht="15.75">
      <c r="A39" s="5"/>
      <c r="B39" s="47" t="s">
        <v>42</v>
      </c>
      <c r="C39" s="32">
        <v>6000000</v>
      </c>
      <c r="D39" s="11">
        <f t="shared" ref="D39:O39" si="27">(D38*$C$39)*1.1</f>
        <v>33000000.000000004</v>
      </c>
      <c r="E39" s="14">
        <f t="shared" si="27"/>
        <v>33000000.000000004</v>
      </c>
      <c r="F39" s="14">
        <f t="shared" si="27"/>
        <v>33000000.000000004</v>
      </c>
      <c r="G39" s="14">
        <f t="shared" si="27"/>
        <v>33000000.000000004</v>
      </c>
      <c r="H39" s="14">
        <f t="shared" si="27"/>
        <v>33000000.000000004</v>
      </c>
      <c r="I39" s="14">
        <f t="shared" si="27"/>
        <v>33000000.000000004</v>
      </c>
      <c r="J39" s="14">
        <f t="shared" si="27"/>
        <v>33000000.000000004</v>
      </c>
      <c r="K39" s="14">
        <f t="shared" si="27"/>
        <v>33000000.000000004</v>
      </c>
      <c r="L39" s="14">
        <f t="shared" si="27"/>
        <v>33000000.000000004</v>
      </c>
      <c r="M39" s="14">
        <f t="shared" si="27"/>
        <v>33000000.000000004</v>
      </c>
      <c r="N39" s="14">
        <f t="shared" si="27"/>
        <v>33000000.000000004</v>
      </c>
      <c r="O39" s="14">
        <f t="shared" si="27"/>
        <v>33000000.000000004</v>
      </c>
      <c r="P39" s="14">
        <f>SUM(D39:O39)</f>
        <v>396000000.00000006</v>
      </c>
      <c r="Q39" s="4"/>
    </row>
    <row r="40" spans="1:17" ht="15.75">
      <c r="A40" s="5"/>
      <c r="B40" s="47" t="s">
        <v>24</v>
      </c>
      <c r="C40" s="44"/>
      <c r="D40" s="11">
        <v>3</v>
      </c>
      <c r="E40" s="14">
        <v>3</v>
      </c>
      <c r="F40" s="14">
        <v>3</v>
      </c>
      <c r="G40" s="14">
        <v>3</v>
      </c>
      <c r="H40" s="14">
        <v>3</v>
      </c>
      <c r="I40" s="14">
        <v>3</v>
      </c>
      <c r="J40" s="14">
        <v>3</v>
      </c>
      <c r="K40" s="14">
        <v>3</v>
      </c>
      <c r="L40" s="14">
        <v>3</v>
      </c>
      <c r="M40" s="14">
        <v>3</v>
      </c>
      <c r="N40" s="14">
        <v>3</v>
      </c>
      <c r="O40" s="14">
        <v>3</v>
      </c>
      <c r="P40" s="14">
        <f>SUM(D40:O40)/12</f>
        <v>3</v>
      </c>
      <c r="Q40" s="4"/>
    </row>
    <row r="41" spans="1:17" ht="15.75">
      <c r="A41" s="5"/>
      <c r="B41" s="47" t="s">
        <v>24</v>
      </c>
      <c r="C41" s="32">
        <v>6000000</v>
      </c>
      <c r="D41" s="11">
        <f t="shared" ref="D41:O41" si="28">(D40*$C$41)*1.1</f>
        <v>19800000</v>
      </c>
      <c r="E41" s="14">
        <f t="shared" si="28"/>
        <v>19800000</v>
      </c>
      <c r="F41" s="14">
        <f t="shared" si="28"/>
        <v>19800000</v>
      </c>
      <c r="G41" s="14">
        <f t="shared" si="28"/>
        <v>19800000</v>
      </c>
      <c r="H41" s="14">
        <f t="shared" si="28"/>
        <v>19800000</v>
      </c>
      <c r="I41" s="14">
        <f t="shared" si="28"/>
        <v>19800000</v>
      </c>
      <c r="J41" s="14">
        <f t="shared" si="28"/>
        <v>19800000</v>
      </c>
      <c r="K41" s="14">
        <f t="shared" si="28"/>
        <v>19800000</v>
      </c>
      <c r="L41" s="14">
        <f t="shared" si="28"/>
        <v>19800000</v>
      </c>
      <c r="M41" s="14">
        <f t="shared" si="28"/>
        <v>19800000</v>
      </c>
      <c r="N41" s="14">
        <f t="shared" si="28"/>
        <v>19800000</v>
      </c>
      <c r="O41" s="14">
        <f t="shared" si="28"/>
        <v>19800000</v>
      </c>
      <c r="P41" s="14">
        <f>SUM(D41:O41)</f>
        <v>237600000</v>
      </c>
      <c r="Q41" s="4"/>
    </row>
    <row r="42" spans="1:17" ht="15.75">
      <c r="A42" s="5"/>
      <c r="B42" s="47" t="s">
        <v>25</v>
      </c>
      <c r="C42" s="32"/>
      <c r="D42" s="14">
        <v>9</v>
      </c>
      <c r="E42" s="14">
        <v>9</v>
      </c>
      <c r="F42" s="14">
        <v>9</v>
      </c>
      <c r="G42" s="14">
        <v>9</v>
      </c>
      <c r="H42" s="14">
        <v>9</v>
      </c>
      <c r="I42" s="14">
        <v>9</v>
      </c>
      <c r="J42" s="14">
        <v>9</v>
      </c>
      <c r="K42" s="14">
        <v>10</v>
      </c>
      <c r="L42" s="14">
        <v>10</v>
      </c>
      <c r="M42" s="14">
        <v>10</v>
      </c>
      <c r="N42" s="14">
        <v>10</v>
      </c>
      <c r="O42" s="14">
        <v>10</v>
      </c>
      <c r="P42" s="14">
        <v>10</v>
      </c>
      <c r="Q42" s="4"/>
    </row>
    <row r="43" spans="1:17" ht="15.75">
      <c r="A43" s="5"/>
      <c r="B43" s="47" t="s">
        <v>25</v>
      </c>
      <c r="C43" s="32">
        <v>6500000</v>
      </c>
      <c r="D43" s="11">
        <f t="shared" ref="D43:O43" si="29">(D42*$C$43)*1.1</f>
        <v>64350000.000000007</v>
      </c>
      <c r="E43" s="14">
        <f t="shared" si="29"/>
        <v>64350000.000000007</v>
      </c>
      <c r="F43" s="14">
        <f t="shared" si="29"/>
        <v>64350000.000000007</v>
      </c>
      <c r="G43" s="14">
        <f t="shared" si="29"/>
        <v>64350000.000000007</v>
      </c>
      <c r="H43" s="14">
        <f t="shared" si="29"/>
        <v>64350000.000000007</v>
      </c>
      <c r="I43" s="14">
        <f t="shared" si="29"/>
        <v>64350000.000000007</v>
      </c>
      <c r="J43" s="14">
        <f t="shared" si="29"/>
        <v>64350000.000000007</v>
      </c>
      <c r="K43" s="14">
        <f t="shared" si="29"/>
        <v>71500000</v>
      </c>
      <c r="L43" s="14">
        <f t="shared" si="29"/>
        <v>71500000</v>
      </c>
      <c r="M43" s="14">
        <f t="shared" si="29"/>
        <v>71500000</v>
      </c>
      <c r="N43" s="14">
        <f t="shared" si="29"/>
        <v>71500000</v>
      </c>
      <c r="O43" s="14">
        <f t="shared" si="29"/>
        <v>71500000</v>
      </c>
      <c r="P43" s="14">
        <f>SUM(D43:O43)</f>
        <v>807950000</v>
      </c>
      <c r="Q43" s="4"/>
    </row>
    <row r="44" spans="1:17" ht="15.75">
      <c r="A44" s="5"/>
      <c r="B44" s="47" t="s">
        <v>62</v>
      </c>
      <c r="C44" s="31">
        <v>0.1</v>
      </c>
      <c r="D44" s="14">
        <f>(D35+D37+D39+D41+D43)*$C$44</f>
        <v>16995000</v>
      </c>
      <c r="E44" s="14">
        <f t="shared" ref="E44:P44" si="30">(E35+E37+E39+E41+E43)*$C$44</f>
        <v>16995000</v>
      </c>
      <c r="F44" s="14">
        <f t="shared" si="30"/>
        <v>16995000</v>
      </c>
      <c r="G44" s="14">
        <f t="shared" si="30"/>
        <v>16995000</v>
      </c>
      <c r="H44" s="14">
        <f t="shared" si="30"/>
        <v>16995000</v>
      </c>
      <c r="I44" s="14">
        <f t="shared" si="30"/>
        <v>16995000</v>
      </c>
      <c r="J44" s="14">
        <f t="shared" si="30"/>
        <v>16995000</v>
      </c>
      <c r="K44" s="14">
        <f t="shared" si="30"/>
        <v>17710000</v>
      </c>
      <c r="L44" s="14">
        <f t="shared" si="30"/>
        <v>17710000</v>
      </c>
      <c r="M44" s="14">
        <f t="shared" si="30"/>
        <v>17710000</v>
      </c>
      <c r="N44" s="14">
        <f t="shared" si="30"/>
        <v>17710000</v>
      </c>
      <c r="O44" s="14">
        <f t="shared" si="30"/>
        <v>17710000</v>
      </c>
      <c r="P44" s="14">
        <f t="shared" si="30"/>
        <v>207515000</v>
      </c>
      <c r="Q44" s="4"/>
    </row>
    <row r="45" spans="1:17" ht="15.75">
      <c r="A45" s="5"/>
      <c r="B45" s="7" t="s">
        <v>26</v>
      </c>
      <c r="C45" s="165"/>
      <c r="D45" s="24">
        <f t="shared" ref="D45:P45" si="31">D3+D7+D34+D36+D38+D40+D42</f>
        <v>21</v>
      </c>
      <c r="E45" s="24">
        <f t="shared" si="31"/>
        <v>21</v>
      </c>
      <c r="F45" s="24">
        <f t="shared" si="31"/>
        <v>21</v>
      </c>
      <c r="G45" s="24">
        <f t="shared" si="31"/>
        <v>21</v>
      </c>
      <c r="H45" s="24">
        <f t="shared" si="31"/>
        <v>21</v>
      </c>
      <c r="I45" s="24">
        <f t="shared" si="31"/>
        <v>21</v>
      </c>
      <c r="J45" s="24">
        <f t="shared" si="31"/>
        <v>21</v>
      </c>
      <c r="K45" s="24">
        <f t="shared" si="31"/>
        <v>22</v>
      </c>
      <c r="L45" s="24">
        <f t="shared" si="31"/>
        <v>22</v>
      </c>
      <c r="M45" s="24">
        <f t="shared" si="31"/>
        <v>22</v>
      </c>
      <c r="N45" s="24">
        <f t="shared" si="31"/>
        <v>22</v>
      </c>
      <c r="O45" s="24">
        <f t="shared" si="31"/>
        <v>22</v>
      </c>
      <c r="P45" s="24">
        <f t="shared" si="31"/>
        <v>22</v>
      </c>
      <c r="Q45" s="4"/>
    </row>
    <row r="46" spans="1:17" ht="15.75">
      <c r="A46" s="5"/>
      <c r="B46" s="166"/>
      <c r="C46" s="26"/>
      <c r="D46" s="24">
        <f>D35+D37+D39+D41+D43+D44</f>
        <v>186945000</v>
      </c>
      <c r="E46" s="24">
        <f t="shared" ref="E46:P46" si="32">E35+E37+E39+E41+E43+E44</f>
        <v>186945000</v>
      </c>
      <c r="F46" s="24">
        <f t="shared" si="32"/>
        <v>186945000</v>
      </c>
      <c r="G46" s="24">
        <f t="shared" si="32"/>
        <v>186945000</v>
      </c>
      <c r="H46" s="24">
        <f t="shared" si="32"/>
        <v>186945000</v>
      </c>
      <c r="I46" s="24">
        <f t="shared" si="32"/>
        <v>186945000</v>
      </c>
      <c r="J46" s="24">
        <f t="shared" si="32"/>
        <v>186945000</v>
      </c>
      <c r="K46" s="24">
        <f t="shared" si="32"/>
        <v>194810000</v>
      </c>
      <c r="L46" s="24">
        <f t="shared" si="32"/>
        <v>194810000</v>
      </c>
      <c r="M46" s="24">
        <f t="shared" si="32"/>
        <v>194810000</v>
      </c>
      <c r="N46" s="24">
        <f t="shared" si="32"/>
        <v>194810000</v>
      </c>
      <c r="O46" s="24">
        <f t="shared" si="32"/>
        <v>194810000</v>
      </c>
      <c r="P46" s="24">
        <f t="shared" si="32"/>
        <v>2282665000</v>
      </c>
      <c r="Q46" s="4"/>
    </row>
    <row r="47" spans="1:17" ht="15.75">
      <c r="A47" s="5"/>
      <c r="B47" s="167"/>
      <c r="C47" s="16">
        <v>0.22</v>
      </c>
      <c r="D47" s="168">
        <f t="shared" ref="D47:P47" si="33">D46/D17</f>
        <v>0.25895797620902811</v>
      </c>
      <c r="E47" s="168">
        <f t="shared" si="33"/>
        <v>0.29530586180832485</v>
      </c>
      <c r="F47" s="168">
        <f t="shared" si="33"/>
        <v>0.26256025213199852</v>
      </c>
      <c r="G47" s="168">
        <f t="shared" si="33"/>
        <v>0.26711246135463718</v>
      </c>
      <c r="H47" s="168">
        <f t="shared" si="33"/>
        <v>0.2545313441370789</v>
      </c>
      <c r="I47" s="168">
        <f t="shared" si="33"/>
        <v>0.256203104121698</v>
      </c>
      <c r="J47" s="168">
        <f t="shared" si="33"/>
        <v>0.24163496698191858</v>
      </c>
      <c r="K47" s="168">
        <f t="shared" si="33"/>
        <v>0.24809903712140929</v>
      </c>
      <c r="L47" s="168">
        <f t="shared" si="33"/>
        <v>0.25263253449527961</v>
      </c>
      <c r="M47" s="168">
        <f t="shared" si="33"/>
        <v>0.24095025755029678</v>
      </c>
      <c r="N47" s="168">
        <f t="shared" si="33"/>
        <v>0.24541446208112874</v>
      </c>
      <c r="O47" s="168">
        <f t="shared" si="33"/>
        <v>0.23178215024018797</v>
      </c>
      <c r="P47" s="168">
        <f t="shared" si="33"/>
        <v>0.25352283809102716</v>
      </c>
      <c r="Q47" s="4"/>
    </row>
    <row r="48" spans="1:17" ht="15.75">
      <c r="A48" s="5"/>
      <c r="B48" s="72" t="s">
        <v>43</v>
      </c>
      <c r="C48" s="47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50"/>
      <c r="Q48" s="4"/>
    </row>
    <row r="49" spans="1:17" ht="15.75">
      <c r="A49" s="5"/>
      <c r="B49" s="73" t="s">
        <v>27</v>
      </c>
      <c r="C49" s="31">
        <v>0.02</v>
      </c>
      <c r="D49" s="14">
        <f t="shared" ref="D49:O49" si="34">$C$49*D17</f>
        <v>14438250</v>
      </c>
      <c r="E49" s="14">
        <f t="shared" si="34"/>
        <v>12661110</v>
      </c>
      <c r="F49" s="14">
        <f t="shared" si="34"/>
        <v>14240160</v>
      </c>
      <c r="G49" s="14">
        <f t="shared" si="34"/>
        <v>13997475</v>
      </c>
      <c r="H49" s="14">
        <f t="shared" si="34"/>
        <v>14689350</v>
      </c>
      <c r="I49" s="14">
        <f t="shared" si="34"/>
        <v>14593500</v>
      </c>
      <c r="J49" s="14">
        <f t="shared" si="34"/>
        <v>15473340</v>
      </c>
      <c r="K49" s="14">
        <f t="shared" si="34"/>
        <v>15704212.5</v>
      </c>
      <c r="L49" s="14">
        <f t="shared" si="34"/>
        <v>15422400</v>
      </c>
      <c r="M49" s="14">
        <f t="shared" si="34"/>
        <v>16170142.5</v>
      </c>
      <c r="N49" s="14">
        <f t="shared" si="34"/>
        <v>15876000</v>
      </c>
      <c r="O49" s="14">
        <f t="shared" si="34"/>
        <v>16809750</v>
      </c>
      <c r="P49" s="14">
        <f>SUM(D49:O49)</f>
        <v>180075690</v>
      </c>
      <c r="Q49" s="4"/>
    </row>
    <row r="50" spans="1:17" ht="15.75">
      <c r="A50" s="5"/>
      <c r="B50" s="73" t="s">
        <v>28</v>
      </c>
      <c r="C50" s="31">
        <v>5.0000000000000001E-3</v>
      </c>
      <c r="D50" s="14">
        <f t="shared" ref="D50:O50" si="35">$C$50*D17</f>
        <v>3609562.5</v>
      </c>
      <c r="E50" s="14">
        <f t="shared" si="35"/>
        <v>3165277.5</v>
      </c>
      <c r="F50" s="14">
        <f t="shared" si="35"/>
        <v>3560040</v>
      </c>
      <c r="G50" s="14">
        <f t="shared" si="35"/>
        <v>3499368.75</v>
      </c>
      <c r="H50" s="14">
        <f t="shared" si="35"/>
        <v>3672337.5</v>
      </c>
      <c r="I50" s="14">
        <f t="shared" si="35"/>
        <v>3648375</v>
      </c>
      <c r="J50" s="14">
        <f t="shared" si="35"/>
        <v>3868335</v>
      </c>
      <c r="K50" s="14">
        <f t="shared" si="35"/>
        <v>3926053.125</v>
      </c>
      <c r="L50" s="14">
        <f t="shared" si="35"/>
        <v>3855600</v>
      </c>
      <c r="M50" s="14">
        <f t="shared" si="35"/>
        <v>4042535.625</v>
      </c>
      <c r="N50" s="14">
        <f t="shared" si="35"/>
        <v>3969000</v>
      </c>
      <c r="O50" s="14">
        <f t="shared" si="35"/>
        <v>4202437.5</v>
      </c>
      <c r="P50" s="14">
        <f>SUM(D50:O50)</f>
        <v>45018922.5</v>
      </c>
      <c r="Q50" s="4"/>
    </row>
    <row r="51" spans="1:17" ht="15.75">
      <c r="A51" s="5"/>
      <c r="B51" s="73"/>
      <c r="C51" s="31"/>
      <c r="D51" s="51">
        <f t="shared" ref="D51:O51" si="36">SUM(D49:D50)</f>
        <v>18047812.5</v>
      </c>
      <c r="E51" s="51">
        <f t="shared" si="36"/>
        <v>15826387.5</v>
      </c>
      <c r="F51" s="51">
        <f t="shared" si="36"/>
        <v>17800200</v>
      </c>
      <c r="G51" s="51">
        <f t="shared" si="36"/>
        <v>17496843.75</v>
      </c>
      <c r="H51" s="51">
        <f t="shared" si="36"/>
        <v>18361687.5</v>
      </c>
      <c r="I51" s="51">
        <f t="shared" si="36"/>
        <v>18241875</v>
      </c>
      <c r="J51" s="51">
        <f t="shared" si="36"/>
        <v>19341675</v>
      </c>
      <c r="K51" s="51">
        <f t="shared" si="36"/>
        <v>19630265.625</v>
      </c>
      <c r="L51" s="51">
        <f t="shared" si="36"/>
        <v>19278000</v>
      </c>
      <c r="M51" s="51">
        <f t="shared" si="36"/>
        <v>20212678.125</v>
      </c>
      <c r="N51" s="51">
        <f t="shared" si="36"/>
        <v>19845000</v>
      </c>
      <c r="O51" s="51">
        <f t="shared" si="36"/>
        <v>21012187.5</v>
      </c>
      <c r="P51" s="51">
        <f>SUM(D51:O51)</f>
        <v>225094612.5</v>
      </c>
      <c r="Q51" s="4"/>
    </row>
    <row r="52" spans="1:17" ht="15.75">
      <c r="A52" s="5"/>
      <c r="B52" s="72" t="s">
        <v>44</v>
      </c>
      <c r="C52" s="31"/>
      <c r="D52" s="75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4"/>
    </row>
    <row r="53" spans="1:17" ht="15.75">
      <c r="A53" s="5"/>
      <c r="B53" s="73" t="s">
        <v>45</v>
      </c>
      <c r="C53" s="31"/>
      <c r="D53" s="14">
        <f t="shared" ref="D53:O53" si="37">D17*0.1</f>
        <v>72191250</v>
      </c>
      <c r="E53" s="14">
        <f t="shared" si="37"/>
        <v>63305550</v>
      </c>
      <c r="F53" s="14">
        <f t="shared" si="37"/>
        <v>71200800</v>
      </c>
      <c r="G53" s="14">
        <f t="shared" si="37"/>
        <v>69987375</v>
      </c>
      <c r="H53" s="14">
        <f t="shared" si="37"/>
        <v>73446750</v>
      </c>
      <c r="I53" s="14">
        <f t="shared" si="37"/>
        <v>72967500</v>
      </c>
      <c r="J53" s="14">
        <f t="shared" si="37"/>
        <v>77366700</v>
      </c>
      <c r="K53" s="14">
        <f t="shared" si="37"/>
        <v>78521062.5</v>
      </c>
      <c r="L53" s="14">
        <f t="shared" si="37"/>
        <v>77112000</v>
      </c>
      <c r="M53" s="14">
        <f t="shared" si="37"/>
        <v>80850712.5</v>
      </c>
      <c r="N53" s="14">
        <f t="shared" si="37"/>
        <v>79380000</v>
      </c>
      <c r="O53" s="14">
        <f t="shared" si="37"/>
        <v>84048750</v>
      </c>
      <c r="P53" s="14">
        <f>SUM(D53:O53)</f>
        <v>900378450</v>
      </c>
      <c r="Q53" s="4"/>
    </row>
    <row r="54" spans="1:17" ht="15.75">
      <c r="A54" s="5"/>
      <c r="B54" s="73" t="s">
        <v>61</v>
      </c>
      <c r="C54" s="31"/>
      <c r="D54" s="14">
        <v>10000000</v>
      </c>
      <c r="E54" s="14">
        <v>10000000</v>
      </c>
      <c r="F54" s="14">
        <v>10000000</v>
      </c>
      <c r="G54" s="14">
        <v>10000000</v>
      </c>
      <c r="H54" s="14">
        <v>10000000</v>
      </c>
      <c r="I54" s="14">
        <v>10000000</v>
      </c>
      <c r="J54" s="14">
        <v>10000000</v>
      </c>
      <c r="K54" s="14">
        <v>10000000</v>
      </c>
      <c r="L54" s="14">
        <v>10000000</v>
      </c>
      <c r="M54" s="14">
        <v>10000000</v>
      </c>
      <c r="N54" s="14">
        <v>10000000</v>
      </c>
      <c r="O54" s="14">
        <v>10000000</v>
      </c>
      <c r="P54" s="14">
        <f>SUM(D54:O54)</f>
        <v>120000000</v>
      </c>
      <c r="Q54" s="4"/>
    </row>
    <row r="55" spans="1:17" ht="15.75">
      <c r="A55" s="5"/>
      <c r="B55" s="73" t="s">
        <v>67</v>
      </c>
      <c r="C55" s="31">
        <v>0.01</v>
      </c>
      <c r="D55" s="14">
        <f t="shared" ref="D55:O55" si="38">$C$55*D17</f>
        <v>7219125</v>
      </c>
      <c r="E55" s="14">
        <f t="shared" si="38"/>
        <v>6330555</v>
      </c>
      <c r="F55" s="14">
        <f t="shared" si="38"/>
        <v>7120080</v>
      </c>
      <c r="G55" s="14">
        <f t="shared" si="38"/>
        <v>6998737.5</v>
      </c>
      <c r="H55" s="14">
        <f t="shared" si="38"/>
        <v>7344675</v>
      </c>
      <c r="I55" s="14">
        <f t="shared" si="38"/>
        <v>7296750</v>
      </c>
      <c r="J55" s="14">
        <f t="shared" si="38"/>
        <v>7736670</v>
      </c>
      <c r="K55" s="14">
        <f t="shared" si="38"/>
        <v>7852106.25</v>
      </c>
      <c r="L55" s="14">
        <f t="shared" si="38"/>
        <v>7711200</v>
      </c>
      <c r="M55" s="14">
        <f t="shared" si="38"/>
        <v>8085071.25</v>
      </c>
      <c r="N55" s="14">
        <f t="shared" si="38"/>
        <v>7938000</v>
      </c>
      <c r="O55" s="14">
        <f t="shared" si="38"/>
        <v>8404875</v>
      </c>
      <c r="P55" s="14">
        <f>SUM(D55:O55)</f>
        <v>90037845</v>
      </c>
      <c r="Q55" s="4"/>
    </row>
    <row r="56" spans="1:17" ht="15.75">
      <c r="A56" s="5"/>
      <c r="B56" s="73" t="s">
        <v>47</v>
      </c>
      <c r="C56" s="31">
        <v>0.06</v>
      </c>
      <c r="D56" s="14">
        <f t="shared" ref="D56:O56" si="39">$C$56*D17</f>
        <v>43314750</v>
      </c>
      <c r="E56" s="14">
        <f t="shared" si="39"/>
        <v>37983330</v>
      </c>
      <c r="F56" s="14">
        <f t="shared" si="39"/>
        <v>42720480</v>
      </c>
      <c r="G56" s="14">
        <f t="shared" si="39"/>
        <v>41992425</v>
      </c>
      <c r="H56" s="14">
        <f t="shared" si="39"/>
        <v>44068050</v>
      </c>
      <c r="I56" s="14">
        <f t="shared" si="39"/>
        <v>43780500</v>
      </c>
      <c r="J56" s="14">
        <f t="shared" si="39"/>
        <v>46420020</v>
      </c>
      <c r="K56" s="14">
        <f t="shared" si="39"/>
        <v>47112637.5</v>
      </c>
      <c r="L56" s="14">
        <f t="shared" si="39"/>
        <v>46267200</v>
      </c>
      <c r="M56" s="14">
        <f t="shared" si="39"/>
        <v>48510427.5</v>
      </c>
      <c r="N56" s="14">
        <f t="shared" si="39"/>
        <v>47628000</v>
      </c>
      <c r="O56" s="14">
        <f t="shared" si="39"/>
        <v>50429250</v>
      </c>
      <c r="P56" s="14">
        <f>SUM(D56:O56)</f>
        <v>540227070</v>
      </c>
      <c r="Q56" s="4"/>
    </row>
    <row r="57" spans="1:17" ht="15.75">
      <c r="A57" s="5"/>
      <c r="B57" s="73"/>
      <c r="C57" s="31"/>
      <c r="D57" s="51">
        <f t="shared" ref="D57:O57" si="40">SUM(D53:D56)</f>
        <v>132725125</v>
      </c>
      <c r="E57" s="51">
        <f t="shared" si="40"/>
        <v>117619435</v>
      </c>
      <c r="F57" s="51">
        <f t="shared" si="40"/>
        <v>131041360</v>
      </c>
      <c r="G57" s="51">
        <f t="shared" si="40"/>
        <v>128978537.5</v>
      </c>
      <c r="H57" s="51">
        <f t="shared" si="40"/>
        <v>134859475</v>
      </c>
      <c r="I57" s="51">
        <f t="shared" si="40"/>
        <v>134044750</v>
      </c>
      <c r="J57" s="51">
        <f t="shared" si="40"/>
        <v>141523390</v>
      </c>
      <c r="K57" s="51">
        <f t="shared" si="40"/>
        <v>143485806.25</v>
      </c>
      <c r="L57" s="51">
        <f t="shared" si="40"/>
        <v>141090400</v>
      </c>
      <c r="M57" s="51">
        <f t="shared" si="40"/>
        <v>147446211.25</v>
      </c>
      <c r="N57" s="51">
        <f t="shared" si="40"/>
        <v>144946000</v>
      </c>
      <c r="O57" s="51">
        <f t="shared" si="40"/>
        <v>152882875</v>
      </c>
      <c r="P57" s="51">
        <f>SUM(D57:O57)</f>
        <v>1650643365</v>
      </c>
      <c r="Q57" s="4"/>
    </row>
    <row r="58" spans="1:17" ht="15.75">
      <c r="A58" s="5"/>
      <c r="B58" s="72" t="s">
        <v>29</v>
      </c>
      <c r="C58" s="31"/>
      <c r="D58" s="75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4"/>
    </row>
    <row r="59" spans="1:17" ht="15.75">
      <c r="A59" s="5"/>
      <c r="B59" s="73" t="s">
        <v>84</v>
      </c>
      <c r="C59" s="31">
        <v>0.02</v>
      </c>
      <c r="D59" s="14">
        <f t="shared" ref="D59:O59" si="41">$C$59*D17</f>
        <v>14438250</v>
      </c>
      <c r="E59" s="14">
        <f t="shared" si="41"/>
        <v>12661110</v>
      </c>
      <c r="F59" s="14">
        <f t="shared" si="41"/>
        <v>14240160</v>
      </c>
      <c r="G59" s="14">
        <f t="shared" si="41"/>
        <v>13997475</v>
      </c>
      <c r="H59" s="14">
        <f t="shared" si="41"/>
        <v>14689350</v>
      </c>
      <c r="I59" s="14">
        <f t="shared" si="41"/>
        <v>14593500</v>
      </c>
      <c r="J59" s="14">
        <f t="shared" si="41"/>
        <v>15473340</v>
      </c>
      <c r="K59" s="14">
        <f t="shared" si="41"/>
        <v>15704212.5</v>
      </c>
      <c r="L59" s="14">
        <f t="shared" si="41"/>
        <v>15422400</v>
      </c>
      <c r="M59" s="14">
        <f t="shared" si="41"/>
        <v>16170142.5</v>
      </c>
      <c r="N59" s="14">
        <f t="shared" si="41"/>
        <v>15876000</v>
      </c>
      <c r="O59" s="14">
        <f t="shared" si="41"/>
        <v>16809750</v>
      </c>
      <c r="P59" s="14">
        <f t="shared" ref="P59:P62" si="42">SUM(D59:O59)</f>
        <v>180075690</v>
      </c>
      <c r="Q59" s="4"/>
    </row>
    <row r="60" spans="1:17" ht="15.75">
      <c r="A60" s="5"/>
      <c r="B60" s="73" t="s">
        <v>31</v>
      </c>
      <c r="C60" s="31">
        <v>1.4999999999999999E-2</v>
      </c>
      <c r="D60" s="14">
        <f t="shared" ref="D60:O60" si="43">$C$60*D17</f>
        <v>10828687.5</v>
      </c>
      <c r="E60" s="14">
        <f t="shared" si="43"/>
        <v>9495832.5</v>
      </c>
      <c r="F60" s="14">
        <f t="shared" si="43"/>
        <v>10680120</v>
      </c>
      <c r="G60" s="14">
        <f t="shared" si="43"/>
        <v>10498106.25</v>
      </c>
      <c r="H60" s="14">
        <f t="shared" si="43"/>
        <v>11017012.5</v>
      </c>
      <c r="I60" s="14">
        <f t="shared" si="43"/>
        <v>10945125</v>
      </c>
      <c r="J60" s="14">
        <f t="shared" si="43"/>
        <v>11605005</v>
      </c>
      <c r="K60" s="14">
        <f t="shared" si="43"/>
        <v>11778159.375</v>
      </c>
      <c r="L60" s="14">
        <f t="shared" si="43"/>
        <v>11566800</v>
      </c>
      <c r="M60" s="14">
        <f t="shared" si="43"/>
        <v>12127606.875</v>
      </c>
      <c r="N60" s="14">
        <f t="shared" si="43"/>
        <v>11907000</v>
      </c>
      <c r="O60" s="14">
        <f t="shared" si="43"/>
        <v>12607312.5</v>
      </c>
      <c r="P60" s="14">
        <f t="shared" si="42"/>
        <v>135056767.5</v>
      </c>
      <c r="Q60" s="4"/>
    </row>
    <row r="61" spans="1:17" ht="15.75">
      <c r="A61" s="5"/>
      <c r="B61" s="73" t="s">
        <v>32</v>
      </c>
      <c r="C61" s="31">
        <v>0.02</v>
      </c>
      <c r="D61" s="14">
        <f t="shared" ref="D61:O61" si="44">$C$61*D17</f>
        <v>14438250</v>
      </c>
      <c r="E61" s="14">
        <f t="shared" si="44"/>
        <v>12661110</v>
      </c>
      <c r="F61" s="14">
        <f t="shared" si="44"/>
        <v>14240160</v>
      </c>
      <c r="G61" s="14">
        <f t="shared" si="44"/>
        <v>13997475</v>
      </c>
      <c r="H61" s="14">
        <f t="shared" si="44"/>
        <v>14689350</v>
      </c>
      <c r="I61" s="14">
        <f t="shared" si="44"/>
        <v>14593500</v>
      </c>
      <c r="J61" s="14">
        <f t="shared" si="44"/>
        <v>15473340</v>
      </c>
      <c r="K61" s="14">
        <f t="shared" si="44"/>
        <v>15704212.5</v>
      </c>
      <c r="L61" s="14">
        <f t="shared" si="44"/>
        <v>15422400</v>
      </c>
      <c r="M61" s="14">
        <f t="shared" si="44"/>
        <v>16170142.5</v>
      </c>
      <c r="N61" s="14">
        <f t="shared" si="44"/>
        <v>15876000</v>
      </c>
      <c r="O61" s="14">
        <f t="shared" si="44"/>
        <v>16809750</v>
      </c>
      <c r="P61" s="14">
        <f t="shared" si="42"/>
        <v>180075690</v>
      </c>
      <c r="Q61" s="4"/>
    </row>
    <row r="62" spans="1:17" ht="15.75">
      <c r="A62" s="5"/>
      <c r="B62" s="101" t="s">
        <v>33</v>
      </c>
      <c r="C62" s="102"/>
      <c r="D62" s="103">
        <f t="shared" ref="D62:O62" si="45">SUM(D59:D61)</f>
        <v>39705187.5</v>
      </c>
      <c r="E62" s="103">
        <f t="shared" si="45"/>
        <v>34818052.5</v>
      </c>
      <c r="F62" s="103">
        <f t="shared" si="45"/>
        <v>39160440</v>
      </c>
      <c r="G62" s="103">
        <f t="shared" si="45"/>
        <v>38493056.25</v>
      </c>
      <c r="H62" s="103">
        <f t="shared" si="45"/>
        <v>40395712.5</v>
      </c>
      <c r="I62" s="103">
        <f t="shared" si="45"/>
        <v>40132125</v>
      </c>
      <c r="J62" s="103">
        <f t="shared" si="45"/>
        <v>42551685</v>
      </c>
      <c r="K62" s="103">
        <f t="shared" si="45"/>
        <v>43186584.375</v>
      </c>
      <c r="L62" s="103">
        <f t="shared" si="45"/>
        <v>42411600</v>
      </c>
      <c r="M62" s="103">
        <f t="shared" si="45"/>
        <v>44467891.875</v>
      </c>
      <c r="N62" s="103">
        <f t="shared" si="45"/>
        <v>43659000</v>
      </c>
      <c r="O62" s="103">
        <f t="shared" si="45"/>
        <v>46226812.5</v>
      </c>
      <c r="P62" s="103">
        <f t="shared" si="42"/>
        <v>495208147.5</v>
      </c>
      <c r="Q62" s="4"/>
    </row>
    <row r="63" spans="1:17" ht="15.75">
      <c r="A63" s="5"/>
      <c r="B63" s="65" t="s">
        <v>37</v>
      </c>
      <c r="C63" s="66"/>
      <c r="D63" s="104">
        <f t="shared" ref="D63:P63" si="46">D51+D57+D62</f>
        <v>190478125</v>
      </c>
      <c r="E63" s="46">
        <f t="shared" si="46"/>
        <v>168263875</v>
      </c>
      <c r="F63" s="46">
        <f t="shared" si="46"/>
        <v>188002000</v>
      </c>
      <c r="G63" s="46">
        <f t="shared" si="46"/>
        <v>184968437.5</v>
      </c>
      <c r="H63" s="46">
        <f t="shared" si="46"/>
        <v>193616875</v>
      </c>
      <c r="I63" s="46">
        <f t="shared" si="46"/>
        <v>192418750</v>
      </c>
      <c r="J63" s="46">
        <f t="shared" si="46"/>
        <v>203416750</v>
      </c>
      <c r="K63" s="46">
        <f t="shared" si="46"/>
        <v>206302656.25</v>
      </c>
      <c r="L63" s="46">
        <f t="shared" si="46"/>
        <v>202780000</v>
      </c>
      <c r="M63" s="46">
        <f t="shared" si="46"/>
        <v>212126781.25</v>
      </c>
      <c r="N63" s="46">
        <f t="shared" si="46"/>
        <v>208450000</v>
      </c>
      <c r="O63" s="46">
        <f t="shared" si="46"/>
        <v>220121875</v>
      </c>
      <c r="P63" s="46">
        <f t="shared" si="46"/>
        <v>2370946125</v>
      </c>
      <c r="Q63" s="4"/>
    </row>
    <row r="64" spans="1:17" ht="16.5" thickBot="1">
      <c r="A64" s="5"/>
      <c r="B64" s="151"/>
      <c r="C64" s="110">
        <v>0.26</v>
      </c>
      <c r="D64" s="111">
        <f t="shared" ref="D64:P64" si="47">D63/D17</f>
        <v>0.26385209426350148</v>
      </c>
      <c r="E64" s="121">
        <f t="shared" si="47"/>
        <v>0.26579640331692878</v>
      </c>
      <c r="F64" s="121">
        <f t="shared" si="47"/>
        <v>0.26404478601364029</v>
      </c>
      <c r="G64" s="121">
        <f t="shared" si="47"/>
        <v>0.26428829128110604</v>
      </c>
      <c r="H64" s="121">
        <f t="shared" si="47"/>
        <v>0.26361530632737323</v>
      </c>
      <c r="I64" s="121">
        <f t="shared" si="47"/>
        <v>0.2637047315585706</v>
      </c>
      <c r="J64" s="121">
        <f t="shared" si="47"/>
        <v>0.26292545759351243</v>
      </c>
      <c r="K64" s="121">
        <f t="shared" si="47"/>
        <v>0.26273543643146702</v>
      </c>
      <c r="L64" s="121">
        <f t="shared" si="47"/>
        <v>0.2629681502230522</v>
      </c>
      <c r="M64" s="121">
        <f t="shared" si="47"/>
        <v>0.26236847479853687</v>
      </c>
      <c r="N64" s="121">
        <f t="shared" si="47"/>
        <v>0.26259763164525068</v>
      </c>
      <c r="O64" s="121">
        <f t="shared" si="47"/>
        <v>0.26189785689852613</v>
      </c>
      <c r="P64" s="110">
        <f t="shared" si="47"/>
        <v>0.26332772902327906</v>
      </c>
      <c r="Q64" s="4"/>
    </row>
    <row r="65" spans="1:17" ht="17.25" thickTop="1" thickBot="1">
      <c r="A65" s="5"/>
      <c r="B65" s="152" t="s">
        <v>77</v>
      </c>
      <c r="C65" s="86">
        <f>D65/D17</f>
        <v>5.5555555555555552E-2</v>
      </c>
      <c r="D65" s="155">
        <f>-D16*0.5</f>
        <v>40106250</v>
      </c>
      <c r="E65" s="155">
        <f t="shared" ref="E65:O65" si="48">-E16*0.5</f>
        <v>35169750</v>
      </c>
      <c r="F65" s="155">
        <f t="shared" si="48"/>
        <v>39556000</v>
      </c>
      <c r="G65" s="155">
        <f t="shared" si="48"/>
        <v>38881875</v>
      </c>
      <c r="H65" s="155">
        <f t="shared" si="48"/>
        <v>40803750</v>
      </c>
      <c r="I65" s="155">
        <f t="shared" si="48"/>
        <v>40537500</v>
      </c>
      <c r="J65" s="155">
        <f t="shared" si="48"/>
        <v>42981500</v>
      </c>
      <c r="K65" s="155">
        <f t="shared" si="48"/>
        <v>43622812.5</v>
      </c>
      <c r="L65" s="155">
        <f t="shared" si="48"/>
        <v>42840000</v>
      </c>
      <c r="M65" s="155">
        <f t="shared" si="48"/>
        <v>44917062.5</v>
      </c>
      <c r="N65" s="155">
        <f t="shared" si="48"/>
        <v>44100000</v>
      </c>
      <c r="O65" s="155">
        <f t="shared" si="48"/>
        <v>46693750</v>
      </c>
      <c r="P65" s="38">
        <f>SUM(D65:O65)</f>
        <v>500210250</v>
      </c>
      <c r="Q65" s="4"/>
    </row>
    <row r="66" spans="1:17" ht="16.5" thickTop="1">
      <c r="A66" s="5"/>
      <c r="B66" s="48" t="s">
        <v>34</v>
      </c>
      <c r="C66" s="36"/>
      <c r="D66" s="37">
        <f t="shared" ref="D66:O66" si="49">(D30+D65)-(D63+D46)</f>
        <v>146364500</v>
      </c>
      <c r="E66" s="37">
        <f t="shared" si="49"/>
        <v>104108060</v>
      </c>
      <c r="F66" s="37">
        <f t="shared" si="49"/>
        <v>141654360</v>
      </c>
      <c r="G66" s="37">
        <f t="shared" si="49"/>
        <v>135883850</v>
      </c>
      <c r="H66" s="37">
        <f t="shared" si="49"/>
        <v>152335100</v>
      </c>
      <c r="I66" s="37">
        <f t="shared" si="49"/>
        <v>150056000</v>
      </c>
      <c r="J66" s="37">
        <f t="shared" si="49"/>
        <v>170976640</v>
      </c>
      <c r="K66" s="37">
        <f t="shared" si="49"/>
        <v>168601275</v>
      </c>
      <c r="L66" s="37">
        <f t="shared" si="49"/>
        <v>161900400</v>
      </c>
      <c r="M66" s="37">
        <f t="shared" si="49"/>
        <v>179680055</v>
      </c>
      <c r="N66" s="37">
        <f t="shared" si="49"/>
        <v>172686000</v>
      </c>
      <c r="O66" s="37">
        <f t="shared" si="49"/>
        <v>194888500</v>
      </c>
      <c r="P66" s="38">
        <f>SUM(D66:O66)</f>
        <v>1879134740</v>
      </c>
      <c r="Q66" s="97"/>
    </row>
    <row r="67" spans="1:17" ht="16.5" thickBot="1">
      <c r="A67" s="5"/>
      <c r="B67" s="49" t="s">
        <v>35</v>
      </c>
      <c r="C67" s="40">
        <f>(C31+C65)-(C47+C64)</f>
        <v>0.24555555555555553</v>
      </c>
      <c r="D67" s="42">
        <f t="shared" ref="D67:P67" si="50">D66/D17</f>
        <v>0.20274548508302598</v>
      </c>
      <c r="E67" s="42">
        <f t="shared" si="50"/>
        <v>0.16445329043030193</v>
      </c>
      <c r="F67" s="42">
        <f t="shared" si="50"/>
        <v>0.19895051740991673</v>
      </c>
      <c r="G67" s="42">
        <f t="shared" si="50"/>
        <v>0.19415480291981232</v>
      </c>
      <c r="H67" s="42">
        <f t="shared" si="50"/>
        <v>0.20740890509110341</v>
      </c>
      <c r="I67" s="42">
        <f t="shared" si="50"/>
        <v>0.20564771987528693</v>
      </c>
      <c r="J67" s="42">
        <f t="shared" si="50"/>
        <v>0.22099513098012452</v>
      </c>
      <c r="K67" s="42">
        <f t="shared" si="50"/>
        <v>0.21472108200267923</v>
      </c>
      <c r="L67" s="42">
        <f t="shared" si="50"/>
        <v>0.20995487083722378</v>
      </c>
      <c r="M67" s="42">
        <f t="shared" si="50"/>
        <v>0.22223682320672189</v>
      </c>
      <c r="N67" s="42">
        <f t="shared" si="50"/>
        <v>0.21754346182917611</v>
      </c>
      <c r="O67" s="42">
        <f t="shared" si="50"/>
        <v>0.23187554841684141</v>
      </c>
      <c r="P67" s="42">
        <f t="shared" si="50"/>
        <v>0.20870498844124935</v>
      </c>
      <c r="Q67" s="4"/>
    </row>
    <row r="68" spans="1:17" ht="16.5" thickTop="1">
      <c r="A68" s="5"/>
      <c r="B68" s="88"/>
      <c r="C68" s="89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1"/>
      <c r="P68" s="96"/>
      <c r="Q68" s="76"/>
    </row>
    <row r="69" spans="1:17" ht="18" customHeight="1">
      <c r="B69" s="93" t="s">
        <v>69</v>
      </c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69"/>
      <c r="P69" s="107"/>
    </row>
    <row r="70" spans="1:17"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</row>
    <row r="71" spans="1:17" ht="16.5" customHeight="1">
      <c r="B71" s="93" t="s">
        <v>70</v>
      </c>
      <c r="C71" s="113"/>
      <c r="D71" s="112">
        <f t="shared" ref="D71:O71" si="51">D63+D46</f>
        <v>377423125</v>
      </c>
      <c r="E71" s="112">
        <f t="shared" si="51"/>
        <v>355208875</v>
      </c>
      <c r="F71" s="112">
        <f t="shared" si="51"/>
        <v>374947000</v>
      </c>
      <c r="G71" s="112">
        <f t="shared" si="51"/>
        <v>371913437.5</v>
      </c>
      <c r="H71" s="112">
        <f t="shared" si="51"/>
        <v>380561875</v>
      </c>
      <c r="I71" s="112">
        <f t="shared" si="51"/>
        <v>379363750</v>
      </c>
      <c r="J71" s="112">
        <f t="shared" si="51"/>
        <v>390361750</v>
      </c>
      <c r="K71" s="112">
        <f t="shared" si="51"/>
        <v>401112656.25</v>
      </c>
      <c r="L71" s="112">
        <f t="shared" si="51"/>
        <v>397590000</v>
      </c>
      <c r="M71" s="112">
        <f t="shared" si="51"/>
        <v>406936781.25</v>
      </c>
      <c r="N71" s="112">
        <f t="shared" si="51"/>
        <v>403260000</v>
      </c>
      <c r="O71" s="112">
        <f t="shared" si="51"/>
        <v>414931875</v>
      </c>
    </row>
    <row r="72" spans="1:17" ht="13.5" customHeight="1">
      <c r="B72" s="93" t="s">
        <v>72</v>
      </c>
      <c r="C72" s="93"/>
      <c r="D72" s="112">
        <f t="shared" ref="D72:O72" si="52">D29</f>
        <v>238231125</v>
      </c>
      <c r="E72" s="112">
        <f t="shared" si="52"/>
        <v>208908315</v>
      </c>
      <c r="F72" s="112">
        <f t="shared" si="52"/>
        <v>234962640</v>
      </c>
      <c r="G72" s="112">
        <f t="shared" si="52"/>
        <v>230958337.5</v>
      </c>
      <c r="H72" s="112">
        <f t="shared" si="52"/>
        <v>242374275</v>
      </c>
      <c r="I72" s="112">
        <f t="shared" si="52"/>
        <v>240792750</v>
      </c>
      <c r="J72" s="112">
        <f t="shared" si="52"/>
        <v>255310110</v>
      </c>
      <c r="K72" s="112">
        <f t="shared" si="52"/>
        <v>259119506.25</v>
      </c>
      <c r="L72" s="112">
        <f t="shared" si="52"/>
        <v>254469600</v>
      </c>
      <c r="M72" s="112">
        <f t="shared" si="52"/>
        <v>266807351.25</v>
      </c>
      <c r="N72" s="112">
        <f t="shared" si="52"/>
        <v>261954000</v>
      </c>
      <c r="O72" s="112">
        <f t="shared" si="52"/>
        <v>277360875</v>
      </c>
    </row>
    <row r="73" spans="1:17">
      <c r="B73" s="93"/>
      <c r="C73" s="93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</row>
    <row r="74" spans="1:17" ht="14.25" customHeight="1">
      <c r="B74" s="93" t="s">
        <v>71</v>
      </c>
      <c r="C74" s="93"/>
      <c r="D74" s="112">
        <f>(D72/0.69)+D71</f>
        <v>722685625</v>
      </c>
      <c r="E74" s="112">
        <f t="shared" ref="E74:O74" si="53">(E72/0.69)+E71</f>
        <v>657974548.9130435</v>
      </c>
      <c r="F74" s="112">
        <f t="shared" si="53"/>
        <v>715472565.21739125</v>
      </c>
      <c r="G74" s="112">
        <f t="shared" si="53"/>
        <v>706635665.7608695</v>
      </c>
      <c r="H74" s="112">
        <f t="shared" si="53"/>
        <v>731828940.21739125</v>
      </c>
      <c r="I74" s="112">
        <f t="shared" si="53"/>
        <v>728338750</v>
      </c>
      <c r="J74" s="112">
        <f t="shared" si="53"/>
        <v>760376402.173913</v>
      </c>
      <c r="K74" s="112">
        <f t="shared" si="53"/>
        <v>776648172.55434787</v>
      </c>
      <c r="L74" s="112">
        <f t="shared" si="53"/>
        <v>766386521.7391305</v>
      </c>
      <c r="M74" s="112">
        <f t="shared" si="53"/>
        <v>793614101.902174</v>
      </c>
      <c r="N74" s="112">
        <f t="shared" si="53"/>
        <v>782903478.26086962</v>
      </c>
      <c r="O74" s="112">
        <f t="shared" si="53"/>
        <v>816904157.60869575</v>
      </c>
    </row>
    <row r="75" spans="1:17" ht="15" customHeight="1">
      <c r="B75" s="93" t="s">
        <v>73</v>
      </c>
      <c r="C75" s="93"/>
      <c r="D75" s="112">
        <f t="shared" ref="D75:O75" si="54">D74/D6</f>
        <v>23312439.516129032</v>
      </c>
      <c r="E75" s="112">
        <f t="shared" si="54"/>
        <v>23499091.032608695</v>
      </c>
      <c r="F75" s="112">
        <f t="shared" si="54"/>
        <v>23079760.168302942</v>
      </c>
      <c r="G75" s="112">
        <f t="shared" si="54"/>
        <v>23554522.192028984</v>
      </c>
      <c r="H75" s="112">
        <f t="shared" si="54"/>
        <v>23607385.168302942</v>
      </c>
      <c r="I75" s="112">
        <f t="shared" si="54"/>
        <v>24277958.333333332</v>
      </c>
      <c r="J75" s="112">
        <f t="shared" si="54"/>
        <v>24528271.037868161</v>
      </c>
      <c r="K75" s="112">
        <f t="shared" si="54"/>
        <v>25053166.856591865</v>
      </c>
      <c r="L75" s="112">
        <f t="shared" si="54"/>
        <v>25546217.391304351</v>
      </c>
      <c r="M75" s="112">
        <f t="shared" si="54"/>
        <v>25600454.900070127</v>
      </c>
      <c r="N75" s="112">
        <f t="shared" si="54"/>
        <v>26096782.608695652</v>
      </c>
      <c r="O75" s="112">
        <f t="shared" si="54"/>
        <v>26351747.019635346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9BE9-CCD3-41D7-AD26-6ED7A2497F42}">
  <dimension ref="A1:Q75"/>
  <sheetViews>
    <sheetView topLeftCell="A43" workbookViewId="0">
      <selection activeCell="E42" sqref="E42:P42"/>
    </sheetView>
  </sheetViews>
  <sheetFormatPr defaultRowHeight="12.75"/>
  <cols>
    <col min="1" max="1" width="3" customWidth="1"/>
    <col min="2" max="2" width="42.85546875" customWidth="1"/>
    <col min="3" max="3" width="13.42578125" customWidth="1"/>
    <col min="4" max="4" width="14.5703125" customWidth="1"/>
    <col min="5" max="5" width="14.28515625" customWidth="1"/>
    <col min="6" max="6" width="15.140625" customWidth="1"/>
    <col min="7" max="7" width="14.7109375" customWidth="1"/>
    <col min="8" max="8" width="15.140625" customWidth="1"/>
    <col min="9" max="9" width="14.42578125" customWidth="1"/>
    <col min="10" max="11" width="14.7109375" customWidth="1"/>
    <col min="12" max="13" width="14.5703125" customWidth="1"/>
    <col min="14" max="14" width="16.140625" customWidth="1"/>
    <col min="15" max="15" width="15" customWidth="1"/>
    <col min="16" max="16" width="16.140625" customWidth="1"/>
  </cols>
  <sheetData>
    <row r="1" spans="1:17" ht="15.75" customHeight="1"/>
    <row r="2" spans="1:17" ht="17.25" customHeight="1">
      <c r="A2" s="57"/>
      <c r="B2" s="69" t="s">
        <v>54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7" ht="15.75">
      <c r="A3" s="5"/>
      <c r="B3" s="6" t="s">
        <v>63</v>
      </c>
      <c r="C3" s="55"/>
      <c r="D3" s="11"/>
      <c r="E3" s="11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3"/>
    </row>
    <row r="4" spans="1:17" ht="15.75">
      <c r="A4" s="5"/>
      <c r="B4" s="6" t="s">
        <v>68</v>
      </c>
      <c r="C4" s="55"/>
      <c r="D4" s="11"/>
      <c r="E4" s="11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3"/>
    </row>
    <row r="5" spans="1:17" ht="15.75">
      <c r="A5" s="5"/>
      <c r="B5" s="7" t="s">
        <v>64</v>
      </c>
      <c r="C5" s="8" t="s">
        <v>10</v>
      </c>
      <c r="D5" s="9" t="s">
        <v>11</v>
      </c>
      <c r="E5" s="9" t="s">
        <v>0</v>
      </c>
      <c r="F5" s="9" t="s">
        <v>1</v>
      </c>
      <c r="G5" s="9" t="s">
        <v>2</v>
      </c>
      <c r="H5" s="9" t="s">
        <v>3</v>
      </c>
      <c r="I5" s="9" t="s">
        <v>4</v>
      </c>
      <c r="J5" s="9" t="s">
        <v>5</v>
      </c>
      <c r="K5" s="9" t="s">
        <v>6</v>
      </c>
      <c r="L5" s="9" t="s">
        <v>7</v>
      </c>
      <c r="M5" s="9" t="s">
        <v>8</v>
      </c>
      <c r="N5" s="9" t="s">
        <v>9</v>
      </c>
      <c r="O5" s="9" t="s">
        <v>12</v>
      </c>
      <c r="P5" s="9" t="s">
        <v>65</v>
      </c>
      <c r="Q5" s="4"/>
    </row>
    <row r="6" spans="1:17" ht="15.75">
      <c r="A6" s="5"/>
      <c r="B6" s="7"/>
      <c r="C6" s="74"/>
      <c r="D6" s="58">
        <v>31</v>
      </c>
      <c r="E6" s="117">
        <v>28</v>
      </c>
      <c r="F6" s="117">
        <v>31</v>
      </c>
      <c r="G6" s="117">
        <v>30</v>
      </c>
      <c r="H6" s="117">
        <v>31</v>
      </c>
      <c r="I6" s="117">
        <v>30</v>
      </c>
      <c r="J6" s="117">
        <v>31</v>
      </c>
      <c r="K6" s="117">
        <v>31</v>
      </c>
      <c r="L6" s="117">
        <v>30</v>
      </c>
      <c r="M6" s="117">
        <v>31</v>
      </c>
      <c r="N6" s="117">
        <v>30</v>
      </c>
      <c r="O6" s="117">
        <v>31</v>
      </c>
      <c r="P6" s="53">
        <f>SUM(D6:O6)</f>
        <v>365</v>
      </c>
      <c r="Q6" s="4"/>
    </row>
    <row r="7" spans="1:17" ht="15.75">
      <c r="A7" s="5"/>
      <c r="B7" s="64" t="s">
        <v>38</v>
      </c>
      <c r="C7" s="10"/>
      <c r="D7" s="11"/>
      <c r="E7" s="14"/>
      <c r="F7" s="14"/>
      <c r="G7" s="14"/>
      <c r="H7" s="14"/>
      <c r="I7" s="14"/>
      <c r="J7" s="14"/>
      <c r="K7" s="14"/>
      <c r="L7" s="52"/>
      <c r="M7" s="50"/>
      <c r="N7" s="54"/>
      <c r="O7" s="54"/>
      <c r="P7" s="54"/>
      <c r="Q7" s="4"/>
    </row>
    <row r="8" spans="1:17" ht="15.75">
      <c r="A8" s="5"/>
      <c r="B8" s="59" t="s">
        <v>13</v>
      </c>
      <c r="C8" s="13"/>
      <c r="D8" s="11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52"/>
      <c r="Q8" s="4"/>
    </row>
    <row r="9" spans="1:17" ht="15.75">
      <c r="A9" s="5"/>
      <c r="B9" s="60" t="s">
        <v>50</v>
      </c>
      <c r="C9" s="13"/>
      <c r="D9" s="11">
        <v>100</v>
      </c>
      <c r="E9" s="14">
        <v>95</v>
      </c>
      <c r="F9" s="14">
        <f t="shared" ref="F9:H9" si="0">E9+1</f>
        <v>96</v>
      </c>
      <c r="G9" s="14">
        <f t="shared" si="0"/>
        <v>97</v>
      </c>
      <c r="H9" s="14">
        <f t="shared" si="0"/>
        <v>98</v>
      </c>
      <c r="I9" s="14">
        <f>H9+2</f>
        <v>100</v>
      </c>
      <c r="J9" s="14">
        <f t="shared" ref="J9" si="1">I9+2</f>
        <v>102</v>
      </c>
      <c r="K9" s="14">
        <f>J9+1</f>
        <v>103</v>
      </c>
      <c r="L9" s="14">
        <f>K9+1</f>
        <v>104</v>
      </c>
      <c r="M9" s="14">
        <f t="shared" ref="M9:N9" si="2">L9+1</f>
        <v>105</v>
      </c>
      <c r="N9" s="14">
        <f t="shared" si="2"/>
        <v>106</v>
      </c>
      <c r="O9" s="14">
        <f>N9+1</f>
        <v>107</v>
      </c>
      <c r="P9" s="14">
        <f>SUM(D9:O9)/12</f>
        <v>101.08333333333333</v>
      </c>
      <c r="Q9" s="4"/>
    </row>
    <row r="10" spans="1:17" ht="15.75">
      <c r="A10" s="5"/>
      <c r="B10" s="60" t="s">
        <v>51</v>
      </c>
      <c r="C10" s="13"/>
      <c r="D10" s="11">
        <f>D6*D9</f>
        <v>3100</v>
      </c>
      <c r="E10" s="14">
        <f t="shared" ref="E10:O10" si="3">E6*E9</f>
        <v>2660</v>
      </c>
      <c r="F10" s="14">
        <f t="shared" si="3"/>
        <v>2976</v>
      </c>
      <c r="G10" s="14">
        <f t="shared" si="3"/>
        <v>2910</v>
      </c>
      <c r="H10" s="14">
        <f t="shared" si="3"/>
        <v>3038</v>
      </c>
      <c r="I10" s="14">
        <f t="shared" si="3"/>
        <v>3000</v>
      </c>
      <c r="J10" s="14">
        <f t="shared" si="3"/>
        <v>3162</v>
      </c>
      <c r="K10" s="14">
        <f t="shared" si="3"/>
        <v>3193</v>
      </c>
      <c r="L10" s="14">
        <f t="shared" si="3"/>
        <v>3120</v>
      </c>
      <c r="M10" s="14">
        <f t="shared" si="3"/>
        <v>3255</v>
      </c>
      <c r="N10" s="14">
        <f t="shared" si="3"/>
        <v>3180</v>
      </c>
      <c r="O10" s="14">
        <f t="shared" si="3"/>
        <v>3317</v>
      </c>
      <c r="P10" s="14">
        <f>SUM(D10:O10)</f>
        <v>36911</v>
      </c>
      <c r="Q10" s="4"/>
    </row>
    <row r="11" spans="1:17" ht="15.75">
      <c r="A11" s="5"/>
      <c r="B11" s="60" t="s">
        <v>56</v>
      </c>
      <c r="C11" s="13"/>
      <c r="D11" s="11">
        <v>240000</v>
      </c>
      <c r="E11" s="14">
        <f>D11+1000</f>
        <v>241000</v>
      </c>
      <c r="F11" s="14">
        <f t="shared" ref="F11:O11" si="4">E11+1000</f>
        <v>242000</v>
      </c>
      <c r="G11" s="14">
        <f t="shared" si="4"/>
        <v>243000</v>
      </c>
      <c r="H11" s="14">
        <f t="shared" si="4"/>
        <v>244000</v>
      </c>
      <c r="I11" s="14">
        <f t="shared" si="4"/>
        <v>245000</v>
      </c>
      <c r="J11" s="14">
        <f t="shared" si="4"/>
        <v>246000</v>
      </c>
      <c r="K11" s="14">
        <f t="shared" si="4"/>
        <v>247000</v>
      </c>
      <c r="L11" s="14">
        <f t="shared" si="4"/>
        <v>248000</v>
      </c>
      <c r="M11" s="14">
        <f t="shared" si="4"/>
        <v>249000</v>
      </c>
      <c r="N11" s="14">
        <f t="shared" si="4"/>
        <v>250000</v>
      </c>
      <c r="O11" s="14">
        <f t="shared" si="4"/>
        <v>251000</v>
      </c>
      <c r="P11" s="14">
        <f>SUM(D11:O11)/12</f>
        <v>245500</v>
      </c>
      <c r="Q11" s="4"/>
    </row>
    <row r="12" spans="1:17" ht="15.75">
      <c r="A12" s="5"/>
      <c r="B12" s="60" t="s">
        <v>55</v>
      </c>
      <c r="C12" s="13"/>
      <c r="D12" s="11">
        <f t="shared" ref="D12:P12" si="5">D21/D10</f>
        <v>339768</v>
      </c>
      <c r="E12" s="14">
        <f t="shared" si="5"/>
        <v>341183.7</v>
      </c>
      <c r="F12" s="14">
        <f t="shared" si="5"/>
        <v>342599.39999999997</v>
      </c>
      <c r="G12" s="14">
        <f t="shared" si="5"/>
        <v>344015.1</v>
      </c>
      <c r="H12" s="14">
        <f t="shared" si="5"/>
        <v>345430.8</v>
      </c>
      <c r="I12" s="14">
        <f t="shared" si="5"/>
        <v>346846.5</v>
      </c>
      <c r="J12" s="14">
        <f t="shared" si="5"/>
        <v>348262.2</v>
      </c>
      <c r="K12" s="14">
        <f t="shared" si="5"/>
        <v>349677.9</v>
      </c>
      <c r="L12" s="14">
        <f t="shared" si="5"/>
        <v>351093.6</v>
      </c>
      <c r="M12" s="14">
        <f t="shared" si="5"/>
        <v>352509.3</v>
      </c>
      <c r="N12" s="14">
        <f t="shared" si="5"/>
        <v>353925</v>
      </c>
      <c r="O12" s="14">
        <f t="shared" si="5"/>
        <v>355340.7</v>
      </c>
      <c r="P12" s="14">
        <f t="shared" si="5"/>
        <v>347759.48861585977</v>
      </c>
      <c r="Q12" s="4"/>
    </row>
    <row r="13" spans="1:17" ht="15.75">
      <c r="A13" s="5"/>
      <c r="B13" s="60" t="s">
        <v>48</v>
      </c>
      <c r="C13" s="13"/>
      <c r="D13" s="11">
        <f t="shared" ref="D13:O13" si="6">D10*D11*0.6</f>
        <v>446400000</v>
      </c>
      <c r="E13" s="14">
        <f t="shared" si="6"/>
        <v>384636000</v>
      </c>
      <c r="F13" s="14">
        <f t="shared" si="6"/>
        <v>432115200</v>
      </c>
      <c r="G13" s="14">
        <f t="shared" si="6"/>
        <v>424278000</v>
      </c>
      <c r="H13" s="14">
        <f t="shared" si="6"/>
        <v>444763200</v>
      </c>
      <c r="I13" s="14">
        <f t="shared" si="6"/>
        <v>441000000</v>
      </c>
      <c r="J13" s="14">
        <f t="shared" si="6"/>
        <v>466711200</v>
      </c>
      <c r="K13" s="14">
        <f t="shared" si="6"/>
        <v>473202600</v>
      </c>
      <c r="L13" s="14">
        <f t="shared" si="6"/>
        <v>464256000</v>
      </c>
      <c r="M13" s="14">
        <f t="shared" si="6"/>
        <v>486297000</v>
      </c>
      <c r="N13" s="14">
        <f t="shared" si="6"/>
        <v>477000000</v>
      </c>
      <c r="O13" s="14">
        <f t="shared" si="6"/>
        <v>499540200</v>
      </c>
      <c r="P13" s="14">
        <f>SUM(D13:O13)</f>
        <v>5440199400</v>
      </c>
      <c r="Q13" s="4"/>
    </row>
    <row r="14" spans="1:17" ht="15.75">
      <c r="A14" s="5"/>
      <c r="B14" s="60" t="s">
        <v>49</v>
      </c>
      <c r="C14" s="13"/>
      <c r="D14" s="11">
        <f t="shared" ref="D14:O14" si="7">D10*D11*0.4</f>
        <v>297600000</v>
      </c>
      <c r="E14" s="14">
        <f t="shared" si="7"/>
        <v>256424000</v>
      </c>
      <c r="F14" s="14">
        <f t="shared" si="7"/>
        <v>288076800</v>
      </c>
      <c r="G14" s="14">
        <f t="shared" si="7"/>
        <v>282852000</v>
      </c>
      <c r="H14" s="14">
        <f t="shared" si="7"/>
        <v>296508800</v>
      </c>
      <c r="I14" s="14">
        <f t="shared" si="7"/>
        <v>294000000</v>
      </c>
      <c r="J14" s="14">
        <f t="shared" si="7"/>
        <v>311140800</v>
      </c>
      <c r="K14" s="14">
        <f t="shared" si="7"/>
        <v>315468400</v>
      </c>
      <c r="L14" s="14">
        <f t="shared" si="7"/>
        <v>309504000</v>
      </c>
      <c r="M14" s="14">
        <f t="shared" si="7"/>
        <v>324198000</v>
      </c>
      <c r="N14" s="14">
        <f t="shared" si="7"/>
        <v>318000000</v>
      </c>
      <c r="O14" s="14">
        <f t="shared" si="7"/>
        <v>333026800</v>
      </c>
      <c r="P14" s="14">
        <f>SUM(D14:O14)</f>
        <v>3626799600</v>
      </c>
      <c r="Q14" s="4"/>
    </row>
    <row r="15" spans="1:17" ht="15.75">
      <c r="A15" s="5"/>
      <c r="B15" s="60" t="s">
        <v>90</v>
      </c>
      <c r="C15" s="11"/>
      <c r="D15" s="14">
        <f>(D13+D14)*0.3</f>
        <v>223200000</v>
      </c>
      <c r="E15" s="14">
        <f t="shared" ref="E15:O15" si="8">(E13+E14)*0.3</f>
        <v>192318000</v>
      </c>
      <c r="F15" s="14">
        <f t="shared" si="8"/>
        <v>216057600</v>
      </c>
      <c r="G15" s="14">
        <f t="shared" si="8"/>
        <v>212139000</v>
      </c>
      <c r="H15" s="14">
        <f t="shared" si="8"/>
        <v>222381600</v>
      </c>
      <c r="I15" s="14">
        <f t="shared" si="8"/>
        <v>220500000</v>
      </c>
      <c r="J15" s="14">
        <f t="shared" si="8"/>
        <v>233355600</v>
      </c>
      <c r="K15" s="14">
        <f t="shared" si="8"/>
        <v>236601300</v>
      </c>
      <c r="L15" s="14">
        <f t="shared" si="8"/>
        <v>232128000</v>
      </c>
      <c r="M15" s="14">
        <f t="shared" si="8"/>
        <v>243148500</v>
      </c>
      <c r="N15" s="14">
        <f t="shared" si="8"/>
        <v>238500000</v>
      </c>
      <c r="O15" s="14">
        <f t="shared" si="8"/>
        <v>249770100</v>
      </c>
      <c r="P15" s="14">
        <f>SUM(D15:O15)</f>
        <v>2720099700</v>
      </c>
      <c r="Q15" s="4"/>
    </row>
    <row r="16" spans="1:17" ht="15.75">
      <c r="A16" s="5"/>
      <c r="B16" s="108" t="s">
        <v>85</v>
      </c>
      <c r="C16" s="114">
        <v>0.1</v>
      </c>
      <c r="D16" s="115">
        <f>-(D13+D14+D15)*$C$16</f>
        <v>-96720000</v>
      </c>
      <c r="E16" s="115">
        <f t="shared" ref="E16:O16" si="9">-(E13+E14+E15)*$C$16</f>
        <v>-83337800</v>
      </c>
      <c r="F16" s="115">
        <f t="shared" si="9"/>
        <v>-93624960</v>
      </c>
      <c r="G16" s="115">
        <f t="shared" si="9"/>
        <v>-91926900</v>
      </c>
      <c r="H16" s="115">
        <f t="shared" si="9"/>
        <v>-96365360</v>
      </c>
      <c r="I16" s="115">
        <f t="shared" si="9"/>
        <v>-95550000</v>
      </c>
      <c r="J16" s="115">
        <f t="shared" si="9"/>
        <v>-101120760</v>
      </c>
      <c r="K16" s="115">
        <f t="shared" si="9"/>
        <v>-102527230</v>
      </c>
      <c r="L16" s="115">
        <f t="shared" si="9"/>
        <v>-100588800</v>
      </c>
      <c r="M16" s="115">
        <f t="shared" si="9"/>
        <v>-105364350</v>
      </c>
      <c r="N16" s="115">
        <f t="shared" si="9"/>
        <v>-103350000</v>
      </c>
      <c r="O16" s="115">
        <f t="shared" si="9"/>
        <v>-108233710</v>
      </c>
      <c r="P16" s="109">
        <f>SUM(D16:O16)</f>
        <v>-1178709870</v>
      </c>
      <c r="Q16" s="4"/>
    </row>
    <row r="17" spans="1:17" ht="16.5" thickBot="1">
      <c r="A17" s="5"/>
      <c r="B17" s="18" t="s">
        <v>14</v>
      </c>
      <c r="C17" s="16">
        <v>1</v>
      </c>
      <c r="D17" s="17">
        <f>D13+D14+D15+D16</f>
        <v>870480000</v>
      </c>
      <c r="E17" s="17">
        <f t="shared" ref="E17:O17" si="10">E13+E14+E15+E16</f>
        <v>750040200</v>
      </c>
      <c r="F17" s="17">
        <f t="shared" si="10"/>
        <v>842624640</v>
      </c>
      <c r="G17" s="17">
        <f t="shared" si="10"/>
        <v>827342100</v>
      </c>
      <c r="H17" s="17">
        <f t="shared" si="10"/>
        <v>867288240</v>
      </c>
      <c r="I17" s="17">
        <f t="shared" si="10"/>
        <v>859950000</v>
      </c>
      <c r="J17" s="17">
        <f t="shared" si="10"/>
        <v>910086840</v>
      </c>
      <c r="K17" s="17">
        <f t="shared" si="10"/>
        <v>922745070</v>
      </c>
      <c r="L17" s="17">
        <f t="shared" si="10"/>
        <v>905299200</v>
      </c>
      <c r="M17" s="17">
        <f t="shared" si="10"/>
        <v>948279150</v>
      </c>
      <c r="N17" s="17">
        <f t="shared" si="10"/>
        <v>930150000</v>
      </c>
      <c r="O17" s="17">
        <f t="shared" si="10"/>
        <v>974103390</v>
      </c>
      <c r="P17" s="25">
        <f>SUM(D17:O17)</f>
        <v>10608388830</v>
      </c>
      <c r="Q17" s="4"/>
    </row>
    <row r="18" spans="1:17" ht="16.5" thickTop="1">
      <c r="A18" s="5"/>
      <c r="B18" s="15" t="s">
        <v>39</v>
      </c>
      <c r="C18" s="16"/>
      <c r="D18" s="17">
        <f>D17</f>
        <v>870480000</v>
      </c>
      <c r="E18" s="17">
        <f t="shared" ref="E18:O18" si="11">D18+E17</f>
        <v>1620520200</v>
      </c>
      <c r="F18" s="17">
        <f t="shared" si="11"/>
        <v>2463144840</v>
      </c>
      <c r="G18" s="17">
        <f t="shared" si="11"/>
        <v>3290486940</v>
      </c>
      <c r="H18" s="17">
        <f t="shared" si="11"/>
        <v>4157775180</v>
      </c>
      <c r="I18" s="17">
        <f t="shared" si="11"/>
        <v>5017725180</v>
      </c>
      <c r="J18" s="17">
        <f t="shared" si="11"/>
        <v>5927812020</v>
      </c>
      <c r="K18" s="17">
        <f t="shared" si="11"/>
        <v>6850557090</v>
      </c>
      <c r="L18" s="17">
        <f t="shared" si="11"/>
        <v>7755856290</v>
      </c>
      <c r="M18" s="17">
        <f t="shared" si="11"/>
        <v>8704135440</v>
      </c>
      <c r="N18" s="17">
        <f t="shared" si="11"/>
        <v>9634285440</v>
      </c>
      <c r="O18" s="17">
        <f t="shared" si="11"/>
        <v>10608388830</v>
      </c>
      <c r="P18" s="17"/>
      <c r="Q18" s="4"/>
    </row>
    <row r="19" spans="1:17" ht="15.75">
      <c r="A19" s="5"/>
      <c r="B19" s="18" t="s">
        <v>15</v>
      </c>
      <c r="C19" s="19"/>
      <c r="D19" s="17">
        <f t="shared" ref="D19:O19" si="12">D10</f>
        <v>3100</v>
      </c>
      <c r="E19" s="17">
        <f t="shared" si="12"/>
        <v>2660</v>
      </c>
      <c r="F19" s="17">
        <f t="shared" si="12"/>
        <v>2976</v>
      </c>
      <c r="G19" s="17">
        <f t="shared" si="12"/>
        <v>2910</v>
      </c>
      <c r="H19" s="17">
        <f t="shared" si="12"/>
        <v>3038</v>
      </c>
      <c r="I19" s="17">
        <f t="shared" si="12"/>
        <v>3000</v>
      </c>
      <c r="J19" s="17">
        <f t="shared" si="12"/>
        <v>3162</v>
      </c>
      <c r="K19" s="17">
        <f t="shared" si="12"/>
        <v>3193</v>
      </c>
      <c r="L19" s="17">
        <f t="shared" si="12"/>
        <v>3120</v>
      </c>
      <c r="M19" s="17">
        <f t="shared" si="12"/>
        <v>3255</v>
      </c>
      <c r="N19" s="17">
        <f t="shared" si="12"/>
        <v>3180</v>
      </c>
      <c r="O19" s="17">
        <f t="shared" si="12"/>
        <v>3317</v>
      </c>
      <c r="P19" s="17">
        <f>SUM(D19:O19)</f>
        <v>36911</v>
      </c>
      <c r="Q19" s="4"/>
    </row>
    <row r="20" spans="1:17" ht="15.75">
      <c r="A20" s="5"/>
      <c r="B20" s="18" t="s">
        <v>16</v>
      </c>
      <c r="C20" s="16">
        <v>0.21</v>
      </c>
      <c r="D20" s="23">
        <f t="shared" ref="D20:P20" si="13">$C$20*D17</f>
        <v>182800800</v>
      </c>
      <c r="E20" s="17">
        <f t="shared" si="13"/>
        <v>157508442</v>
      </c>
      <c r="F20" s="17">
        <f t="shared" si="13"/>
        <v>176951174.40000001</v>
      </c>
      <c r="G20" s="17">
        <f t="shared" si="13"/>
        <v>173741841</v>
      </c>
      <c r="H20" s="17">
        <f t="shared" si="13"/>
        <v>182130530.40000001</v>
      </c>
      <c r="I20" s="17">
        <f t="shared" si="13"/>
        <v>180589500</v>
      </c>
      <c r="J20" s="17">
        <f t="shared" si="13"/>
        <v>191118236.40000001</v>
      </c>
      <c r="K20" s="17">
        <f t="shared" si="13"/>
        <v>193776464.69999999</v>
      </c>
      <c r="L20" s="17">
        <f t="shared" si="13"/>
        <v>190112832</v>
      </c>
      <c r="M20" s="17">
        <f t="shared" si="13"/>
        <v>199138621.5</v>
      </c>
      <c r="N20" s="17">
        <f t="shared" si="13"/>
        <v>195331500</v>
      </c>
      <c r="O20" s="17">
        <f t="shared" si="13"/>
        <v>204561711.90000001</v>
      </c>
      <c r="P20" s="25">
        <f t="shared" si="13"/>
        <v>2227761654.2999997</v>
      </c>
      <c r="Q20" s="4"/>
    </row>
    <row r="21" spans="1:17" ht="16.5" thickBot="1">
      <c r="A21" s="5"/>
      <c r="B21" s="27" t="s">
        <v>17</v>
      </c>
      <c r="C21" s="28"/>
      <c r="D21" s="29">
        <f t="shared" ref="D21:P21" si="14">D17+D20</f>
        <v>1053280800</v>
      </c>
      <c r="E21" s="30">
        <f t="shared" si="14"/>
        <v>907548642</v>
      </c>
      <c r="F21" s="30">
        <f t="shared" si="14"/>
        <v>1019575814.4</v>
      </c>
      <c r="G21" s="30">
        <f t="shared" si="14"/>
        <v>1001083941</v>
      </c>
      <c r="H21" s="30">
        <f t="shared" si="14"/>
        <v>1049418770.4</v>
      </c>
      <c r="I21" s="30">
        <f t="shared" si="14"/>
        <v>1040539500</v>
      </c>
      <c r="J21" s="30">
        <f t="shared" si="14"/>
        <v>1101205076.4000001</v>
      </c>
      <c r="K21" s="30">
        <f t="shared" si="14"/>
        <v>1116521534.7</v>
      </c>
      <c r="L21" s="30">
        <f t="shared" si="14"/>
        <v>1095412032</v>
      </c>
      <c r="M21" s="30">
        <f t="shared" si="14"/>
        <v>1147417771.5</v>
      </c>
      <c r="N21" s="30">
        <f t="shared" si="14"/>
        <v>1125481500</v>
      </c>
      <c r="O21" s="30">
        <f t="shared" si="14"/>
        <v>1178665101.9000001</v>
      </c>
      <c r="P21" s="30">
        <f t="shared" si="14"/>
        <v>12836150484.299999</v>
      </c>
      <c r="Q21" s="4"/>
    </row>
    <row r="22" spans="1:17" ht="17.25" thickTop="1" thickBot="1">
      <c r="A22" s="5"/>
      <c r="B22" s="27" t="s">
        <v>52</v>
      </c>
      <c r="C22" s="28"/>
      <c r="D22" s="29">
        <f>D21</f>
        <v>1053280800</v>
      </c>
      <c r="E22" s="30">
        <f>D22+E21</f>
        <v>1960829442</v>
      </c>
      <c r="F22" s="30">
        <f t="shared" ref="F22:O22" si="15">E22+F21</f>
        <v>2980405256.4000001</v>
      </c>
      <c r="G22" s="30">
        <f t="shared" si="15"/>
        <v>3981489197.4000001</v>
      </c>
      <c r="H22" s="30">
        <f t="shared" si="15"/>
        <v>5030907967.8000002</v>
      </c>
      <c r="I22" s="30">
        <f t="shared" si="15"/>
        <v>6071447467.8000002</v>
      </c>
      <c r="J22" s="30">
        <f t="shared" si="15"/>
        <v>7172652544.2000008</v>
      </c>
      <c r="K22" s="30">
        <f t="shared" si="15"/>
        <v>8289174078.9000006</v>
      </c>
      <c r="L22" s="30">
        <f t="shared" si="15"/>
        <v>9384586110.9000015</v>
      </c>
      <c r="M22" s="30">
        <f t="shared" si="15"/>
        <v>10532003882.400002</v>
      </c>
      <c r="N22" s="30">
        <f t="shared" si="15"/>
        <v>11657485382.400002</v>
      </c>
      <c r="O22" s="30">
        <f t="shared" si="15"/>
        <v>12836150484.300001</v>
      </c>
      <c r="P22" s="30"/>
      <c r="Q22" s="4"/>
    </row>
    <row r="23" spans="1:17" ht="17.25" thickTop="1" thickBot="1">
      <c r="A23" s="5"/>
      <c r="B23" s="186" t="s">
        <v>83</v>
      </c>
      <c r="C23" s="187"/>
      <c r="D23" s="188">
        <f>D21/D6</f>
        <v>33976800</v>
      </c>
      <c r="E23" s="188">
        <f t="shared" ref="E23:P23" si="16">E21/E6</f>
        <v>32412451.5</v>
      </c>
      <c r="F23" s="188">
        <f t="shared" si="16"/>
        <v>32889542.399999999</v>
      </c>
      <c r="G23" s="188">
        <f t="shared" si="16"/>
        <v>33369464.699999999</v>
      </c>
      <c r="H23" s="188">
        <f t="shared" si="16"/>
        <v>33852218.399999999</v>
      </c>
      <c r="I23" s="188">
        <f t="shared" si="16"/>
        <v>34684650</v>
      </c>
      <c r="J23" s="188">
        <f t="shared" si="16"/>
        <v>35522744.400000006</v>
      </c>
      <c r="K23" s="188">
        <f t="shared" si="16"/>
        <v>36016823.700000003</v>
      </c>
      <c r="L23" s="188">
        <f t="shared" si="16"/>
        <v>36513734.399999999</v>
      </c>
      <c r="M23" s="188">
        <f t="shared" si="16"/>
        <v>37013476.5</v>
      </c>
      <c r="N23" s="188">
        <f t="shared" si="16"/>
        <v>37516050</v>
      </c>
      <c r="O23" s="188">
        <f t="shared" si="16"/>
        <v>38021454.900000006</v>
      </c>
      <c r="P23" s="188">
        <f t="shared" si="16"/>
        <v>35167535.573424652</v>
      </c>
      <c r="Q23" s="4"/>
    </row>
    <row r="24" spans="1:17" ht="16.5" thickTop="1">
      <c r="A24" s="5"/>
      <c r="B24" s="61" t="s">
        <v>18</v>
      </c>
      <c r="C24" s="31"/>
      <c r="D24" s="11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52"/>
      <c r="Q24" s="4"/>
    </row>
    <row r="25" spans="1:17" ht="15.75">
      <c r="A25" s="5"/>
      <c r="B25" s="62" t="s">
        <v>59</v>
      </c>
      <c r="C25" s="31">
        <v>0.3</v>
      </c>
      <c r="D25" s="11">
        <f>(D17*0.6)*$C$25</f>
        <v>156686400</v>
      </c>
      <c r="E25" s="11">
        <f t="shared" ref="E25:O25" si="17">(E17*0.6)*$C$25</f>
        <v>135007236</v>
      </c>
      <c r="F25" s="11">
        <f t="shared" si="17"/>
        <v>151672435.19999999</v>
      </c>
      <c r="G25" s="11">
        <f t="shared" si="17"/>
        <v>148921578</v>
      </c>
      <c r="H25" s="11">
        <f t="shared" si="17"/>
        <v>156111883.19999999</v>
      </c>
      <c r="I25" s="11">
        <f t="shared" si="17"/>
        <v>154791000</v>
      </c>
      <c r="J25" s="11">
        <f t="shared" si="17"/>
        <v>163815631.19999999</v>
      </c>
      <c r="K25" s="11">
        <f t="shared" si="17"/>
        <v>166094112.59999999</v>
      </c>
      <c r="L25" s="11">
        <f t="shared" si="17"/>
        <v>162953856</v>
      </c>
      <c r="M25" s="11">
        <f t="shared" si="17"/>
        <v>170690247</v>
      </c>
      <c r="N25" s="11">
        <f t="shared" si="17"/>
        <v>167427000</v>
      </c>
      <c r="O25" s="11">
        <f t="shared" si="17"/>
        <v>175338610.19999999</v>
      </c>
      <c r="P25" s="14">
        <f>SUM(D25:O25)</f>
        <v>1909509989.4000001</v>
      </c>
      <c r="Q25" s="4"/>
    </row>
    <row r="26" spans="1:17" ht="15.75">
      <c r="A26" s="5"/>
      <c r="B26" s="62" t="s">
        <v>58</v>
      </c>
      <c r="C26" s="31">
        <v>0.27</v>
      </c>
      <c r="D26" s="11">
        <f>(D17*0.4)*$C$26</f>
        <v>94011840</v>
      </c>
      <c r="E26" s="11">
        <f t="shared" ref="E26:O26" si="18">(E17*0.4)*$C$26</f>
        <v>81004341.600000009</v>
      </c>
      <c r="F26" s="11">
        <f t="shared" si="18"/>
        <v>91003461.120000005</v>
      </c>
      <c r="G26" s="11">
        <f t="shared" si="18"/>
        <v>89352946.800000012</v>
      </c>
      <c r="H26" s="11">
        <f t="shared" si="18"/>
        <v>93667129.920000002</v>
      </c>
      <c r="I26" s="11">
        <f t="shared" si="18"/>
        <v>92874600</v>
      </c>
      <c r="J26" s="11">
        <f t="shared" si="18"/>
        <v>98289378.720000014</v>
      </c>
      <c r="K26" s="11">
        <f t="shared" si="18"/>
        <v>99656467.560000002</v>
      </c>
      <c r="L26" s="11">
        <f t="shared" si="18"/>
        <v>97772313.600000009</v>
      </c>
      <c r="M26" s="11">
        <f t="shared" si="18"/>
        <v>102414148.2</v>
      </c>
      <c r="N26" s="11">
        <f t="shared" si="18"/>
        <v>100456200</v>
      </c>
      <c r="O26" s="11">
        <f t="shared" si="18"/>
        <v>105203166.12</v>
      </c>
      <c r="P26" s="14">
        <f>SUM(D26:O26)</f>
        <v>1145705993.6400001</v>
      </c>
      <c r="Q26" s="4"/>
    </row>
    <row r="27" spans="1:17" ht="15.75">
      <c r="A27" s="5"/>
      <c r="B27" s="62" t="s">
        <v>40</v>
      </c>
      <c r="C27" s="31">
        <v>0.02</v>
      </c>
      <c r="D27" s="11">
        <f t="shared" ref="D27:O27" si="19">D17*$C$27</f>
        <v>17409600</v>
      </c>
      <c r="E27" s="14">
        <f t="shared" si="19"/>
        <v>15000804</v>
      </c>
      <c r="F27" s="14">
        <f t="shared" si="19"/>
        <v>16852492.800000001</v>
      </c>
      <c r="G27" s="14">
        <f t="shared" si="19"/>
        <v>16546842</v>
      </c>
      <c r="H27" s="14">
        <f t="shared" si="19"/>
        <v>17345764.800000001</v>
      </c>
      <c r="I27" s="14">
        <f t="shared" si="19"/>
        <v>17199000</v>
      </c>
      <c r="J27" s="14">
        <f t="shared" si="19"/>
        <v>18201736.800000001</v>
      </c>
      <c r="K27" s="14">
        <f t="shared" si="19"/>
        <v>18454901.400000002</v>
      </c>
      <c r="L27" s="14">
        <f t="shared" si="19"/>
        <v>18105984</v>
      </c>
      <c r="M27" s="14">
        <f t="shared" si="19"/>
        <v>18965583</v>
      </c>
      <c r="N27" s="14">
        <f t="shared" si="19"/>
        <v>18603000</v>
      </c>
      <c r="O27" s="14">
        <f t="shared" si="19"/>
        <v>19482067.800000001</v>
      </c>
      <c r="P27" s="14">
        <f>SUM(D27:O27)</f>
        <v>212167776.59999999</v>
      </c>
      <c r="Q27" s="4"/>
    </row>
    <row r="28" spans="1:17" ht="15.75">
      <c r="A28" s="5"/>
      <c r="B28" s="179" t="s">
        <v>81</v>
      </c>
      <c r="C28" s="31">
        <v>2.1999999999999999E-2</v>
      </c>
      <c r="D28" s="11">
        <f>D17*$C$28</f>
        <v>19150560</v>
      </c>
      <c r="E28" s="11">
        <f t="shared" ref="E28:O28" si="20">E17*$C$28</f>
        <v>16500884.399999999</v>
      </c>
      <c r="F28" s="11">
        <f t="shared" si="20"/>
        <v>18537742.079999998</v>
      </c>
      <c r="G28" s="11">
        <f t="shared" si="20"/>
        <v>18201526.199999999</v>
      </c>
      <c r="H28" s="11">
        <f t="shared" si="20"/>
        <v>19080341.279999997</v>
      </c>
      <c r="I28" s="11">
        <f t="shared" si="20"/>
        <v>18918900</v>
      </c>
      <c r="J28" s="11">
        <f t="shared" si="20"/>
        <v>20021910.48</v>
      </c>
      <c r="K28" s="11">
        <f t="shared" si="20"/>
        <v>20300391.539999999</v>
      </c>
      <c r="L28" s="11">
        <f t="shared" si="20"/>
        <v>19916582.399999999</v>
      </c>
      <c r="M28" s="11">
        <f t="shared" si="20"/>
        <v>20862141.299999997</v>
      </c>
      <c r="N28" s="11">
        <f t="shared" si="20"/>
        <v>20463300</v>
      </c>
      <c r="O28" s="11">
        <f t="shared" si="20"/>
        <v>21430274.579999998</v>
      </c>
      <c r="P28" s="14">
        <f>SUM(D28:O28)</f>
        <v>233384554.25999999</v>
      </c>
      <c r="Q28" s="4"/>
    </row>
    <row r="29" spans="1:17" ht="16.5" thickBot="1">
      <c r="A29" s="5"/>
      <c r="B29" s="63" t="s">
        <v>19</v>
      </c>
      <c r="C29" s="33">
        <f>D29/D17</f>
        <v>0.33</v>
      </c>
      <c r="D29" s="34">
        <f>SUM(D25:D28)</f>
        <v>287258400</v>
      </c>
      <c r="E29" s="34">
        <f t="shared" ref="E29:P29" si="21">SUM(E25:E28)</f>
        <v>247513266.00000003</v>
      </c>
      <c r="F29" s="34">
        <f t="shared" si="21"/>
        <v>278066131.19999999</v>
      </c>
      <c r="G29" s="34">
        <f t="shared" si="21"/>
        <v>273022893</v>
      </c>
      <c r="H29" s="34">
        <f t="shared" si="21"/>
        <v>286205119.19999999</v>
      </c>
      <c r="I29" s="34">
        <f t="shared" si="21"/>
        <v>283783500</v>
      </c>
      <c r="J29" s="34">
        <f t="shared" si="21"/>
        <v>300328657.20000005</v>
      </c>
      <c r="K29" s="34">
        <f t="shared" si="21"/>
        <v>304505873.10000002</v>
      </c>
      <c r="L29" s="34">
        <f t="shared" si="21"/>
        <v>298748736</v>
      </c>
      <c r="M29" s="34">
        <f t="shared" si="21"/>
        <v>312932119.5</v>
      </c>
      <c r="N29" s="34">
        <f t="shared" si="21"/>
        <v>306949500</v>
      </c>
      <c r="O29" s="34">
        <f t="shared" si="21"/>
        <v>321454118.69999999</v>
      </c>
      <c r="P29" s="34">
        <f t="shared" si="21"/>
        <v>3500768313.8999996</v>
      </c>
      <c r="Q29" s="4"/>
    </row>
    <row r="30" spans="1:17" ht="16.5" thickTop="1">
      <c r="A30" s="5"/>
      <c r="B30" s="35" t="s">
        <v>20</v>
      </c>
      <c r="C30" s="36"/>
      <c r="D30" s="37">
        <f t="shared" ref="D30:P30" si="22">D17-D29</f>
        <v>583221600</v>
      </c>
      <c r="E30" s="37">
        <f t="shared" si="22"/>
        <v>502526934</v>
      </c>
      <c r="F30" s="37">
        <f t="shared" si="22"/>
        <v>564558508.79999995</v>
      </c>
      <c r="G30" s="37">
        <f t="shared" si="22"/>
        <v>554319207</v>
      </c>
      <c r="H30" s="37">
        <f t="shared" si="22"/>
        <v>581083120.79999995</v>
      </c>
      <c r="I30" s="37">
        <f t="shared" si="22"/>
        <v>576166500</v>
      </c>
      <c r="J30" s="37">
        <f t="shared" si="22"/>
        <v>609758182.79999995</v>
      </c>
      <c r="K30" s="37">
        <f t="shared" si="22"/>
        <v>618239196.89999998</v>
      </c>
      <c r="L30" s="37">
        <f t="shared" si="22"/>
        <v>606550464</v>
      </c>
      <c r="M30" s="37">
        <f t="shared" si="22"/>
        <v>635347030.5</v>
      </c>
      <c r="N30" s="37">
        <f t="shared" si="22"/>
        <v>623200500</v>
      </c>
      <c r="O30" s="37">
        <f t="shared" si="22"/>
        <v>652649271.29999995</v>
      </c>
      <c r="P30" s="37">
        <f t="shared" si="22"/>
        <v>7107620516.1000004</v>
      </c>
    </row>
    <row r="31" spans="1:17" ht="16.5" thickBot="1">
      <c r="A31" s="5"/>
      <c r="B31" s="39" t="s">
        <v>21</v>
      </c>
      <c r="C31" s="40">
        <f>1-C29</f>
        <v>0.66999999999999993</v>
      </c>
      <c r="D31" s="41">
        <f t="shared" ref="D31:P31" si="23">D30/D17</f>
        <v>0.67</v>
      </c>
      <c r="E31" s="42">
        <f t="shared" si="23"/>
        <v>0.67</v>
      </c>
      <c r="F31" s="42">
        <f t="shared" si="23"/>
        <v>0.66999999999999993</v>
      </c>
      <c r="G31" s="42">
        <f t="shared" si="23"/>
        <v>0.67</v>
      </c>
      <c r="H31" s="42">
        <f t="shared" si="23"/>
        <v>0.66999999999999993</v>
      </c>
      <c r="I31" s="42">
        <f t="shared" si="23"/>
        <v>0.67</v>
      </c>
      <c r="J31" s="42">
        <f t="shared" si="23"/>
        <v>0.66999999999999993</v>
      </c>
      <c r="K31" s="42">
        <f t="shared" si="23"/>
        <v>0.66999999999999993</v>
      </c>
      <c r="L31" s="42">
        <f t="shared" si="23"/>
        <v>0.67</v>
      </c>
      <c r="M31" s="42">
        <f t="shared" si="23"/>
        <v>0.67</v>
      </c>
      <c r="N31" s="42">
        <f t="shared" si="23"/>
        <v>0.67</v>
      </c>
      <c r="O31" s="42">
        <f t="shared" si="23"/>
        <v>0.66999999999999993</v>
      </c>
      <c r="P31" s="42">
        <f t="shared" si="23"/>
        <v>0.67</v>
      </c>
      <c r="Q31" s="4"/>
    </row>
    <row r="32" spans="1:17" ht="16.5" thickTop="1">
      <c r="A32" s="5"/>
      <c r="B32" s="64" t="s">
        <v>22</v>
      </c>
      <c r="C32" s="32"/>
      <c r="D32" s="43"/>
      <c r="E32" s="51"/>
      <c r="F32" s="51"/>
      <c r="G32" s="51"/>
      <c r="H32" s="51"/>
      <c r="I32" s="51"/>
      <c r="J32" s="51"/>
      <c r="K32" s="51"/>
      <c r="L32" s="51"/>
      <c r="M32" s="51"/>
      <c r="N32" s="119"/>
      <c r="O32" s="50"/>
      <c r="P32" s="52"/>
      <c r="Q32" s="4"/>
    </row>
    <row r="33" spans="1:17" ht="15.75">
      <c r="A33" s="5"/>
      <c r="B33" s="47" t="s">
        <v>23</v>
      </c>
      <c r="C33" s="31"/>
      <c r="D33" s="11"/>
      <c r="E33" s="14"/>
      <c r="F33" s="14"/>
      <c r="G33" s="14"/>
      <c r="H33" s="14"/>
      <c r="I33" s="14"/>
      <c r="J33" s="14"/>
      <c r="K33" s="14"/>
      <c r="L33" s="14"/>
      <c r="M33" s="14"/>
      <c r="N33" s="120"/>
      <c r="O33" s="50"/>
      <c r="P33" s="52"/>
      <c r="Q33" s="4"/>
    </row>
    <row r="34" spans="1:17" ht="15.75">
      <c r="A34" s="5"/>
      <c r="B34" s="47" t="s">
        <v>36</v>
      </c>
      <c r="C34" s="44"/>
      <c r="D34" s="11">
        <v>2</v>
      </c>
      <c r="E34" s="11">
        <v>2</v>
      </c>
      <c r="F34" s="11">
        <v>2</v>
      </c>
      <c r="G34" s="11">
        <v>2</v>
      </c>
      <c r="H34" s="11">
        <v>2</v>
      </c>
      <c r="I34" s="11">
        <v>2</v>
      </c>
      <c r="J34" s="11">
        <v>2</v>
      </c>
      <c r="K34" s="11">
        <v>2</v>
      </c>
      <c r="L34" s="11">
        <v>2</v>
      </c>
      <c r="M34" s="11">
        <v>2</v>
      </c>
      <c r="N34" s="11">
        <v>2</v>
      </c>
      <c r="O34" s="11">
        <v>2</v>
      </c>
      <c r="P34" s="14">
        <f>SUM(D34:O34)/12</f>
        <v>2</v>
      </c>
      <c r="Q34" s="4"/>
    </row>
    <row r="35" spans="1:17" ht="15.75">
      <c r="A35" s="5"/>
      <c r="B35" s="47" t="s">
        <v>36</v>
      </c>
      <c r="C35" s="32">
        <v>20000000</v>
      </c>
      <c r="D35" s="11">
        <f t="shared" ref="D35:G35" si="24">(D34*$C$35)*1.1</f>
        <v>44000000</v>
      </c>
      <c r="E35" s="14">
        <f t="shared" si="24"/>
        <v>44000000</v>
      </c>
      <c r="F35" s="14">
        <f t="shared" si="24"/>
        <v>44000000</v>
      </c>
      <c r="G35" s="14">
        <f t="shared" si="24"/>
        <v>44000000</v>
      </c>
      <c r="H35" s="14">
        <f>(H34*$C$35)*1.1</f>
        <v>44000000</v>
      </c>
      <c r="I35" s="14">
        <f t="shared" ref="I35:O35" si="25">(I34*$C$35)*1.1</f>
        <v>44000000</v>
      </c>
      <c r="J35" s="14">
        <f t="shared" si="25"/>
        <v>44000000</v>
      </c>
      <c r="K35" s="14">
        <f t="shared" si="25"/>
        <v>44000000</v>
      </c>
      <c r="L35" s="14">
        <f t="shared" si="25"/>
        <v>44000000</v>
      </c>
      <c r="M35" s="14">
        <f t="shared" si="25"/>
        <v>44000000</v>
      </c>
      <c r="N35" s="14">
        <f t="shared" si="25"/>
        <v>44000000</v>
      </c>
      <c r="O35" s="14">
        <f t="shared" si="25"/>
        <v>44000000</v>
      </c>
      <c r="P35" s="14">
        <f>SUM(D35:O35)</f>
        <v>528000000</v>
      </c>
      <c r="Q35" s="4"/>
    </row>
    <row r="36" spans="1:17" ht="15.75">
      <c r="A36" s="5"/>
      <c r="B36" s="47" t="s">
        <v>80</v>
      </c>
      <c r="C36" s="32"/>
      <c r="D36" s="11">
        <v>2</v>
      </c>
      <c r="E36" s="14">
        <v>2</v>
      </c>
      <c r="F36" s="14">
        <v>2</v>
      </c>
      <c r="G36" s="14">
        <v>2</v>
      </c>
      <c r="H36" s="14">
        <v>2</v>
      </c>
      <c r="I36" s="14">
        <v>2</v>
      </c>
      <c r="J36" s="14">
        <v>2</v>
      </c>
      <c r="K36" s="14">
        <v>2</v>
      </c>
      <c r="L36" s="14">
        <v>2</v>
      </c>
      <c r="M36" s="14">
        <v>2</v>
      </c>
      <c r="N36" s="14">
        <v>2</v>
      </c>
      <c r="O36" s="14">
        <v>2</v>
      </c>
      <c r="P36" s="14">
        <v>2</v>
      </c>
      <c r="Q36" s="4"/>
    </row>
    <row r="37" spans="1:17" ht="15.75">
      <c r="A37" s="5"/>
      <c r="B37" s="47" t="s">
        <v>80</v>
      </c>
      <c r="C37" s="32">
        <v>6500000</v>
      </c>
      <c r="D37" s="11">
        <f t="shared" ref="D37:O37" si="26">(D36*$C$37)*1.1</f>
        <v>14300000.000000002</v>
      </c>
      <c r="E37" s="14">
        <f t="shared" si="26"/>
        <v>14300000.000000002</v>
      </c>
      <c r="F37" s="14">
        <f t="shared" si="26"/>
        <v>14300000.000000002</v>
      </c>
      <c r="G37" s="14">
        <f t="shared" si="26"/>
        <v>14300000.000000002</v>
      </c>
      <c r="H37" s="14">
        <f t="shared" si="26"/>
        <v>14300000.000000002</v>
      </c>
      <c r="I37" s="14">
        <f t="shared" si="26"/>
        <v>14300000.000000002</v>
      </c>
      <c r="J37" s="14">
        <f t="shared" si="26"/>
        <v>14300000.000000002</v>
      </c>
      <c r="K37" s="14">
        <f t="shared" si="26"/>
        <v>14300000.000000002</v>
      </c>
      <c r="L37" s="14">
        <f t="shared" si="26"/>
        <v>14300000.000000002</v>
      </c>
      <c r="M37" s="14">
        <f t="shared" si="26"/>
        <v>14300000.000000002</v>
      </c>
      <c r="N37" s="14">
        <f t="shared" si="26"/>
        <v>14300000.000000002</v>
      </c>
      <c r="O37" s="14">
        <f t="shared" si="26"/>
        <v>14300000.000000002</v>
      </c>
      <c r="P37" s="14">
        <f>SUM(D37:O37)</f>
        <v>171600000.00000003</v>
      </c>
      <c r="Q37" s="4"/>
    </row>
    <row r="38" spans="1:17" ht="15.75">
      <c r="A38" s="5"/>
      <c r="B38" s="47" t="s">
        <v>42</v>
      </c>
      <c r="C38" s="32"/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1">
        <v>5</v>
      </c>
      <c r="K38" s="11">
        <v>5</v>
      </c>
      <c r="L38" s="11">
        <v>5</v>
      </c>
      <c r="M38" s="11">
        <v>5</v>
      </c>
      <c r="N38" s="11">
        <v>5</v>
      </c>
      <c r="O38" s="11">
        <v>5</v>
      </c>
      <c r="P38" s="11">
        <v>5</v>
      </c>
      <c r="Q38" s="4"/>
    </row>
    <row r="39" spans="1:17" ht="15.75">
      <c r="A39" s="5"/>
      <c r="B39" s="47" t="s">
        <v>42</v>
      </c>
      <c r="C39" s="32">
        <v>6000000</v>
      </c>
      <c r="D39" s="11">
        <f t="shared" ref="D39:O39" si="27">(D38*$C$39)*1.1</f>
        <v>33000000.000000004</v>
      </c>
      <c r="E39" s="14">
        <f t="shared" si="27"/>
        <v>33000000.000000004</v>
      </c>
      <c r="F39" s="14">
        <f t="shared" si="27"/>
        <v>33000000.000000004</v>
      </c>
      <c r="G39" s="14">
        <f t="shared" si="27"/>
        <v>33000000.000000004</v>
      </c>
      <c r="H39" s="14">
        <f t="shared" si="27"/>
        <v>33000000.000000004</v>
      </c>
      <c r="I39" s="14">
        <f t="shared" si="27"/>
        <v>33000000.000000004</v>
      </c>
      <c r="J39" s="14">
        <f t="shared" si="27"/>
        <v>33000000.000000004</v>
      </c>
      <c r="K39" s="14">
        <f t="shared" si="27"/>
        <v>33000000.000000004</v>
      </c>
      <c r="L39" s="14">
        <f t="shared" si="27"/>
        <v>33000000.000000004</v>
      </c>
      <c r="M39" s="14">
        <f t="shared" si="27"/>
        <v>33000000.000000004</v>
      </c>
      <c r="N39" s="14">
        <f t="shared" si="27"/>
        <v>33000000.000000004</v>
      </c>
      <c r="O39" s="14">
        <f t="shared" si="27"/>
        <v>33000000.000000004</v>
      </c>
      <c r="P39" s="14">
        <f>SUM(D39:O39)</f>
        <v>396000000.00000006</v>
      </c>
      <c r="Q39" s="4"/>
    </row>
    <row r="40" spans="1:17" ht="15.75">
      <c r="A40" s="5"/>
      <c r="B40" s="47" t="s">
        <v>24</v>
      </c>
      <c r="C40" s="44"/>
      <c r="D40" s="11">
        <v>3</v>
      </c>
      <c r="E40" s="14">
        <v>3</v>
      </c>
      <c r="F40" s="14">
        <v>3</v>
      </c>
      <c r="G40" s="14">
        <v>3</v>
      </c>
      <c r="H40" s="14">
        <v>3</v>
      </c>
      <c r="I40" s="14">
        <v>3</v>
      </c>
      <c r="J40" s="14">
        <v>3</v>
      </c>
      <c r="K40" s="14">
        <v>3</v>
      </c>
      <c r="L40" s="14">
        <v>3</v>
      </c>
      <c r="M40" s="14">
        <v>3</v>
      </c>
      <c r="N40" s="14">
        <v>3</v>
      </c>
      <c r="O40" s="14">
        <v>3</v>
      </c>
      <c r="P40" s="14">
        <f>SUM(D40:O40)/12</f>
        <v>3</v>
      </c>
      <c r="Q40" s="4"/>
    </row>
    <row r="41" spans="1:17" ht="15.75">
      <c r="A41" s="5"/>
      <c r="B41" s="47" t="s">
        <v>24</v>
      </c>
      <c r="C41" s="32">
        <v>6500000</v>
      </c>
      <c r="D41" s="11">
        <f t="shared" ref="D41:O41" si="28">(D40*$C$41)*1.1</f>
        <v>21450000</v>
      </c>
      <c r="E41" s="14">
        <f t="shared" si="28"/>
        <v>21450000</v>
      </c>
      <c r="F41" s="14">
        <f t="shared" si="28"/>
        <v>21450000</v>
      </c>
      <c r="G41" s="14">
        <f t="shared" si="28"/>
        <v>21450000</v>
      </c>
      <c r="H41" s="14">
        <f t="shared" si="28"/>
        <v>21450000</v>
      </c>
      <c r="I41" s="14">
        <f t="shared" si="28"/>
        <v>21450000</v>
      </c>
      <c r="J41" s="14">
        <f t="shared" si="28"/>
        <v>21450000</v>
      </c>
      <c r="K41" s="14">
        <f t="shared" si="28"/>
        <v>21450000</v>
      </c>
      <c r="L41" s="14">
        <f t="shared" si="28"/>
        <v>21450000</v>
      </c>
      <c r="M41" s="14">
        <f t="shared" si="28"/>
        <v>21450000</v>
      </c>
      <c r="N41" s="14">
        <f t="shared" si="28"/>
        <v>21450000</v>
      </c>
      <c r="O41" s="14">
        <f t="shared" si="28"/>
        <v>21450000</v>
      </c>
      <c r="P41" s="14">
        <f>SUM(D41:O41)</f>
        <v>257400000</v>
      </c>
      <c r="Q41" s="4"/>
    </row>
    <row r="42" spans="1:17" ht="15.75">
      <c r="A42" s="5"/>
      <c r="B42" s="47" t="s">
        <v>25</v>
      </c>
      <c r="C42" s="32"/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4">
        <v>10</v>
      </c>
      <c r="N42" s="14">
        <v>10</v>
      </c>
      <c r="O42" s="14">
        <v>10</v>
      </c>
      <c r="P42" s="14">
        <v>10</v>
      </c>
      <c r="Q42" s="4"/>
    </row>
    <row r="43" spans="1:17" ht="15.75">
      <c r="A43" s="5"/>
      <c r="B43" s="47" t="s">
        <v>25</v>
      </c>
      <c r="C43" s="32">
        <v>7500000</v>
      </c>
      <c r="D43" s="11">
        <f t="shared" ref="D43:O43" si="29">(D42*$C$43)*1.1</f>
        <v>82500000</v>
      </c>
      <c r="E43" s="14">
        <f t="shared" si="29"/>
        <v>82500000</v>
      </c>
      <c r="F43" s="14">
        <f t="shared" si="29"/>
        <v>82500000</v>
      </c>
      <c r="G43" s="14">
        <f t="shared" si="29"/>
        <v>82500000</v>
      </c>
      <c r="H43" s="14">
        <f t="shared" si="29"/>
        <v>82500000</v>
      </c>
      <c r="I43" s="14">
        <f t="shared" si="29"/>
        <v>82500000</v>
      </c>
      <c r="J43" s="14">
        <f t="shared" si="29"/>
        <v>82500000</v>
      </c>
      <c r="K43" s="14">
        <f t="shared" si="29"/>
        <v>82500000</v>
      </c>
      <c r="L43" s="14">
        <f t="shared" si="29"/>
        <v>82500000</v>
      </c>
      <c r="M43" s="14">
        <f t="shared" si="29"/>
        <v>82500000</v>
      </c>
      <c r="N43" s="14">
        <f t="shared" si="29"/>
        <v>82500000</v>
      </c>
      <c r="O43" s="14">
        <f t="shared" si="29"/>
        <v>82500000</v>
      </c>
      <c r="P43" s="14">
        <f>SUM(D43:O43)</f>
        <v>990000000</v>
      </c>
      <c r="Q43" s="4"/>
    </row>
    <row r="44" spans="1:17" ht="15.75">
      <c r="A44" s="5"/>
      <c r="B44" s="47" t="s">
        <v>62</v>
      </c>
      <c r="C44" s="31">
        <v>0.1</v>
      </c>
      <c r="D44" s="14">
        <f>(D35+D37+D39+D41+D43)*$C$44</f>
        <v>19525000</v>
      </c>
      <c r="E44" s="14">
        <f t="shared" ref="E44:P44" si="30">(E35+E37+E39+E41+E43)*$C$44</f>
        <v>19525000</v>
      </c>
      <c r="F44" s="14">
        <f t="shared" si="30"/>
        <v>19525000</v>
      </c>
      <c r="G44" s="14">
        <f t="shared" si="30"/>
        <v>19525000</v>
      </c>
      <c r="H44" s="14">
        <f t="shared" si="30"/>
        <v>19525000</v>
      </c>
      <c r="I44" s="14">
        <f t="shared" si="30"/>
        <v>19525000</v>
      </c>
      <c r="J44" s="14">
        <f t="shared" si="30"/>
        <v>19525000</v>
      </c>
      <c r="K44" s="14">
        <f t="shared" si="30"/>
        <v>19525000</v>
      </c>
      <c r="L44" s="14">
        <f t="shared" si="30"/>
        <v>19525000</v>
      </c>
      <c r="M44" s="14">
        <f t="shared" si="30"/>
        <v>19525000</v>
      </c>
      <c r="N44" s="14">
        <f t="shared" si="30"/>
        <v>19525000</v>
      </c>
      <c r="O44" s="14">
        <f t="shared" si="30"/>
        <v>19525000</v>
      </c>
      <c r="P44" s="14">
        <f t="shared" si="30"/>
        <v>234300000</v>
      </c>
      <c r="Q44" s="4"/>
    </row>
    <row r="45" spans="1:17" ht="15.75">
      <c r="A45" s="5"/>
      <c r="B45" s="7" t="s">
        <v>26</v>
      </c>
      <c r="C45" s="165"/>
      <c r="D45" s="24">
        <f t="shared" ref="D45:P45" si="31">D3+D7+D34+D36+D38+D40+D42</f>
        <v>22</v>
      </c>
      <c r="E45" s="24">
        <f t="shared" si="31"/>
        <v>22</v>
      </c>
      <c r="F45" s="24">
        <f t="shared" si="31"/>
        <v>22</v>
      </c>
      <c r="G45" s="24">
        <f t="shared" si="31"/>
        <v>22</v>
      </c>
      <c r="H45" s="24">
        <f t="shared" si="31"/>
        <v>22</v>
      </c>
      <c r="I45" s="24">
        <f t="shared" si="31"/>
        <v>22</v>
      </c>
      <c r="J45" s="24">
        <f t="shared" si="31"/>
        <v>22</v>
      </c>
      <c r="K45" s="24">
        <f t="shared" si="31"/>
        <v>22</v>
      </c>
      <c r="L45" s="24">
        <f t="shared" si="31"/>
        <v>22</v>
      </c>
      <c r="M45" s="24">
        <f t="shared" si="31"/>
        <v>22</v>
      </c>
      <c r="N45" s="24">
        <f t="shared" si="31"/>
        <v>22</v>
      </c>
      <c r="O45" s="24">
        <f t="shared" si="31"/>
        <v>22</v>
      </c>
      <c r="P45" s="24">
        <f t="shared" si="31"/>
        <v>22</v>
      </c>
      <c r="Q45" s="4"/>
    </row>
    <row r="46" spans="1:17" ht="15.75">
      <c r="A46" s="5"/>
      <c r="B46" s="166"/>
      <c r="C46" s="26"/>
      <c r="D46" s="24">
        <f>D35+D37+D39+D41+D43+D44</f>
        <v>214775000</v>
      </c>
      <c r="E46" s="24">
        <f t="shared" ref="E46:P46" si="32">E35+E37+E39+E41+E43+E44</f>
        <v>214775000</v>
      </c>
      <c r="F46" s="24">
        <f t="shared" si="32"/>
        <v>214775000</v>
      </c>
      <c r="G46" s="24">
        <f t="shared" si="32"/>
        <v>214775000</v>
      </c>
      <c r="H46" s="24">
        <f t="shared" si="32"/>
        <v>214775000</v>
      </c>
      <c r="I46" s="24">
        <f t="shared" si="32"/>
        <v>214775000</v>
      </c>
      <c r="J46" s="24">
        <f t="shared" si="32"/>
        <v>214775000</v>
      </c>
      <c r="K46" s="24">
        <f t="shared" si="32"/>
        <v>214775000</v>
      </c>
      <c r="L46" s="24">
        <f t="shared" si="32"/>
        <v>214775000</v>
      </c>
      <c r="M46" s="24">
        <f t="shared" si="32"/>
        <v>214775000</v>
      </c>
      <c r="N46" s="24">
        <f t="shared" si="32"/>
        <v>214775000</v>
      </c>
      <c r="O46" s="24">
        <f t="shared" si="32"/>
        <v>214775000</v>
      </c>
      <c r="P46" s="24">
        <f t="shared" si="32"/>
        <v>2577300000</v>
      </c>
      <c r="Q46" s="4"/>
    </row>
    <row r="47" spans="1:17" ht="15.75">
      <c r="A47" s="5"/>
      <c r="B47" s="167"/>
      <c r="C47" s="16">
        <v>0.22</v>
      </c>
      <c r="D47" s="168">
        <f t="shared" ref="D47:P47" si="33">D46/D17</f>
        <v>0.24673168826394634</v>
      </c>
      <c r="E47" s="168">
        <f t="shared" si="33"/>
        <v>0.28635131823600923</v>
      </c>
      <c r="F47" s="168">
        <f t="shared" si="33"/>
        <v>0.25488810771068837</v>
      </c>
      <c r="G47" s="168">
        <f t="shared" si="33"/>
        <v>0.25959636285884641</v>
      </c>
      <c r="H47" s="168">
        <f t="shared" si="33"/>
        <v>0.24763970049910974</v>
      </c>
      <c r="I47" s="168">
        <f t="shared" si="33"/>
        <v>0.24975289261003547</v>
      </c>
      <c r="J47" s="168">
        <f t="shared" si="33"/>
        <v>0.23599396294973346</v>
      </c>
      <c r="K47" s="168">
        <f t="shared" si="33"/>
        <v>0.23275659440803081</v>
      </c>
      <c r="L47" s="168">
        <f t="shared" si="33"/>
        <v>0.23724200794610223</v>
      </c>
      <c r="M47" s="168">
        <f t="shared" si="33"/>
        <v>0.22648921470012284</v>
      </c>
      <c r="N47" s="168">
        <f t="shared" si="33"/>
        <v>0.23090361769607054</v>
      </c>
      <c r="O47" s="168">
        <f t="shared" si="33"/>
        <v>0.22048480911251114</v>
      </c>
      <c r="P47" s="168">
        <f t="shared" si="33"/>
        <v>0.24294923963491258</v>
      </c>
      <c r="Q47" s="4"/>
    </row>
    <row r="48" spans="1:17" ht="15.75">
      <c r="A48" s="5"/>
      <c r="B48" s="72" t="s">
        <v>43</v>
      </c>
      <c r="C48" s="47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50"/>
      <c r="Q48" s="4"/>
    </row>
    <row r="49" spans="1:17" ht="15.75">
      <c r="A49" s="5"/>
      <c r="B49" s="73" t="s">
        <v>27</v>
      </c>
      <c r="C49" s="31">
        <v>0.02</v>
      </c>
      <c r="D49" s="14">
        <f t="shared" ref="D49:O49" si="34">$C$49*D17</f>
        <v>17409600</v>
      </c>
      <c r="E49" s="14">
        <f t="shared" si="34"/>
        <v>15000804</v>
      </c>
      <c r="F49" s="14">
        <f t="shared" si="34"/>
        <v>16852492.800000001</v>
      </c>
      <c r="G49" s="14">
        <f t="shared" si="34"/>
        <v>16546842</v>
      </c>
      <c r="H49" s="14">
        <f t="shared" si="34"/>
        <v>17345764.800000001</v>
      </c>
      <c r="I49" s="14">
        <f t="shared" si="34"/>
        <v>17199000</v>
      </c>
      <c r="J49" s="14">
        <f t="shared" si="34"/>
        <v>18201736.800000001</v>
      </c>
      <c r="K49" s="14">
        <f t="shared" si="34"/>
        <v>18454901.400000002</v>
      </c>
      <c r="L49" s="14">
        <f t="shared" si="34"/>
        <v>18105984</v>
      </c>
      <c r="M49" s="14">
        <f t="shared" si="34"/>
        <v>18965583</v>
      </c>
      <c r="N49" s="14">
        <f t="shared" si="34"/>
        <v>18603000</v>
      </c>
      <c r="O49" s="14">
        <f t="shared" si="34"/>
        <v>19482067.800000001</v>
      </c>
      <c r="P49" s="14">
        <f>SUM(D49:O49)</f>
        <v>212167776.59999999</v>
      </c>
      <c r="Q49" s="4"/>
    </row>
    <row r="50" spans="1:17" ht="15.75">
      <c r="A50" s="5"/>
      <c r="B50" s="73" t="s">
        <v>28</v>
      </c>
      <c r="C50" s="31">
        <v>5.0000000000000001E-3</v>
      </c>
      <c r="D50" s="14">
        <f t="shared" ref="D50:O50" si="35">$C$50*D17</f>
        <v>4352400</v>
      </c>
      <c r="E50" s="14">
        <f t="shared" si="35"/>
        <v>3750201</v>
      </c>
      <c r="F50" s="14">
        <f t="shared" si="35"/>
        <v>4213123.2</v>
      </c>
      <c r="G50" s="14">
        <f t="shared" si="35"/>
        <v>4136710.5</v>
      </c>
      <c r="H50" s="14">
        <f t="shared" si="35"/>
        <v>4336441.2</v>
      </c>
      <c r="I50" s="14">
        <f t="shared" si="35"/>
        <v>4299750</v>
      </c>
      <c r="J50" s="14">
        <f t="shared" si="35"/>
        <v>4550434.2</v>
      </c>
      <c r="K50" s="14">
        <f t="shared" si="35"/>
        <v>4613725.3500000006</v>
      </c>
      <c r="L50" s="14">
        <f t="shared" si="35"/>
        <v>4526496</v>
      </c>
      <c r="M50" s="14">
        <f t="shared" si="35"/>
        <v>4741395.75</v>
      </c>
      <c r="N50" s="14">
        <f t="shared" si="35"/>
        <v>4650750</v>
      </c>
      <c r="O50" s="14">
        <f t="shared" si="35"/>
        <v>4870516.95</v>
      </c>
      <c r="P50" s="14">
        <f>SUM(D50:O50)</f>
        <v>53041944.149999999</v>
      </c>
      <c r="Q50" s="4"/>
    </row>
    <row r="51" spans="1:17" ht="15.75">
      <c r="A51" s="5"/>
      <c r="B51" s="73"/>
      <c r="C51" s="31"/>
      <c r="D51" s="51">
        <f t="shared" ref="D51:O51" si="36">SUM(D49:D50)</f>
        <v>21762000</v>
      </c>
      <c r="E51" s="51">
        <f t="shared" si="36"/>
        <v>18751005</v>
      </c>
      <c r="F51" s="51">
        <f t="shared" si="36"/>
        <v>21065616</v>
      </c>
      <c r="G51" s="51">
        <f t="shared" si="36"/>
        <v>20683552.5</v>
      </c>
      <c r="H51" s="51">
        <f t="shared" si="36"/>
        <v>21682206</v>
      </c>
      <c r="I51" s="51">
        <f t="shared" si="36"/>
        <v>21498750</v>
      </c>
      <c r="J51" s="51">
        <f t="shared" si="36"/>
        <v>22752171</v>
      </c>
      <c r="K51" s="51">
        <f t="shared" si="36"/>
        <v>23068626.750000004</v>
      </c>
      <c r="L51" s="51">
        <f t="shared" si="36"/>
        <v>22632480</v>
      </c>
      <c r="M51" s="51">
        <f t="shared" si="36"/>
        <v>23706978.75</v>
      </c>
      <c r="N51" s="51">
        <f t="shared" si="36"/>
        <v>23253750</v>
      </c>
      <c r="O51" s="51">
        <f t="shared" si="36"/>
        <v>24352584.75</v>
      </c>
      <c r="P51" s="51">
        <f>SUM(D51:O51)</f>
        <v>265209720.75</v>
      </c>
      <c r="Q51" s="4"/>
    </row>
    <row r="52" spans="1:17" ht="15.75">
      <c r="A52" s="5"/>
      <c r="B52" s="72" t="s">
        <v>44</v>
      </c>
      <c r="C52" s="31"/>
      <c r="D52" s="75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4"/>
    </row>
    <row r="53" spans="1:17" ht="15.75">
      <c r="A53" s="5"/>
      <c r="B53" s="73" t="s">
        <v>45</v>
      </c>
      <c r="C53" s="31"/>
      <c r="D53" s="14">
        <f t="shared" ref="D53:O53" si="37">D17*0.1</f>
        <v>87048000</v>
      </c>
      <c r="E53" s="14">
        <f t="shared" si="37"/>
        <v>75004020</v>
      </c>
      <c r="F53" s="14">
        <f t="shared" si="37"/>
        <v>84262464</v>
      </c>
      <c r="G53" s="14">
        <f t="shared" si="37"/>
        <v>82734210</v>
      </c>
      <c r="H53" s="14">
        <f t="shared" si="37"/>
        <v>86728824</v>
      </c>
      <c r="I53" s="14">
        <f t="shared" si="37"/>
        <v>85995000</v>
      </c>
      <c r="J53" s="14">
        <f t="shared" si="37"/>
        <v>91008684</v>
      </c>
      <c r="K53" s="14">
        <f t="shared" si="37"/>
        <v>92274507</v>
      </c>
      <c r="L53" s="14">
        <f t="shared" si="37"/>
        <v>90529920</v>
      </c>
      <c r="M53" s="14">
        <f t="shared" si="37"/>
        <v>94827915</v>
      </c>
      <c r="N53" s="14">
        <f t="shared" si="37"/>
        <v>93015000</v>
      </c>
      <c r="O53" s="14">
        <f t="shared" si="37"/>
        <v>97410339</v>
      </c>
      <c r="P53" s="14">
        <f>SUM(D53:O53)</f>
        <v>1060838883</v>
      </c>
      <c r="Q53" s="4"/>
    </row>
    <row r="54" spans="1:17" ht="15.75">
      <c r="A54" s="5"/>
      <c r="B54" s="73" t="s">
        <v>61</v>
      </c>
      <c r="C54" s="31"/>
      <c r="D54" s="14">
        <v>10000000</v>
      </c>
      <c r="E54" s="14">
        <v>10000000</v>
      </c>
      <c r="F54" s="14">
        <v>10000000</v>
      </c>
      <c r="G54" s="14">
        <v>10000000</v>
      </c>
      <c r="H54" s="14">
        <v>10000000</v>
      </c>
      <c r="I54" s="14">
        <v>10000000</v>
      </c>
      <c r="J54" s="14">
        <v>10000000</v>
      </c>
      <c r="K54" s="14">
        <v>10000000</v>
      </c>
      <c r="L54" s="14">
        <v>10000000</v>
      </c>
      <c r="M54" s="14">
        <v>10000000</v>
      </c>
      <c r="N54" s="14">
        <v>10000000</v>
      </c>
      <c r="O54" s="14">
        <v>10000000</v>
      </c>
      <c r="P54" s="14">
        <f>SUM(D54:O54)</f>
        <v>120000000</v>
      </c>
      <c r="Q54" s="4"/>
    </row>
    <row r="55" spans="1:17" ht="15.75">
      <c r="A55" s="5"/>
      <c r="B55" s="73" t="s">
        <v>67</v>
      </c>
      <c r="C55" s="31">
        <v>0.01</v>
      </c>
      <c r="D55" s="14">
        <f t="shared" ref="D55:O55" si="38">$C$55*D17</f>
        <v>8704800</v>
      </c>
      <c r="E55" s="14">
        <f t="shared" si="38"/>
        <v>7500402</v>
      </c>
      <c r="F55" s="14">
        <f t="shared" si="38"/>
        <v>8426246.4000000004</v>
      </c>
      <c r="G55" s="14">
        <f t="shared" si="38"/>
        <v>8273421</v>
      </c>
      <c r="H55" s="14">
        <f t="shared" si="38"/>
        <v>8672882.4000000004</v>
      </c>
      <c r="I55" s="14">
        <f t="shared" si="38"/>
        <v>8599500</v>
      </c>
      <c r="J55" s="14">
        <f t="shared" si="38"/>
        <v>9100868.4000000004</v>
      </c>
      <c r="K55" s="14">
        <f t="shared" si="38"/>
        <v>9227450.7000000011</v>
      </c>
      <c r="L55" s="14">
        <f t="shared" si="38"/>
        <v>9052992</v>
      </c>
      <c r="M55" s="14">
        <f t="shared" si="38"/>
        <v>9482791.5</v>
      </c>
      <c r="N55" s="14">
        <f t="shared" si="38"/>
        <v>9301500</v>
      </c>
      <c r="O55" s="14">
        <f t="shared" si="38"/>
        <v>9741033.9000000004</v>
      </c>
      <c r="P55" s="14">
        <f>SUM(D55:O55)</f>
        <v>106083888.3</v>
      </c>
      <c r="Q55" s="4"/>
    </row>
    <row r="56" spans="1:17" ht="15.75">
      <c r="A56" s="5"/>
      <c r="B56" s="73" t="s">
        <v>47</v>
      </c>
      <c r="C56" s="31">
        <v>0.06</v>
      </c>
      <c r="D56" s="14">
        <f t="shared" ref="D56:O56" si="39">$C$56*D17</f>
        <v>52228800</v>
      </c>
      <c r="E56" s="14">
        <f t="shared" si="39"/>
        <v>45002412</v>
      </c>
      <c r="F56" s="14">
        <f t="shared" si="39"/>
        <v>50557478.399999999</v>
      </c>
      <c r="G56" s="14">
        <f t="shared" si="39"/>
        <v>49640526</v>
      </c>
      <c r="H56" s="14">
        <f t="shared" si="39"/>
        <v>52037294.399999999</v>
      </c>
      <c r="I56" s="14">
        <f t="shared" si="39"/>
        <v>51597000</v>
      </c>
      <c r="J56" s="14">
        <f t="shared" si="39"/>
        <v>54605210.399999999</v>
      </c>
      <c r="K56" s="14">
        <f t="shared" si="39"/>
        <v>55364704.199999996</v>
      </c>
      <c r="L56" s="14">
        <f t="shared" si="39"/>
        <v>54317952</v>
      </c>
      <c r="M56" s="14">
        <f t="shared" si="39"/>
        <v>56896749</v>
      </c>
      <c r="N56" s="14">
        <f t="shared" si="39"/>
        <v>55809000</v>
      </c>
      <c r="O56" s="14">
        <f t="shared" si="39"/>
        <v>58446203.399999999</v>
      </c>
      <c r="P56" s="14">
        <f>SUM(D56:O56)</f>
        <v>636503329.79999995</v>
      </c>
      <c r="Q56" s="4"/>
    </row>
    <row r="57" spans="1:17" ht="15.75">
      <c r="A57" s="5"/>
      <c r="B57" s="73"/>
      <c r="C57" s="31"/>
      <c r="D57" s="51">
        <f t="shared" ref="D57:O57" si="40">SUM(D53:D56)</f>
        <v>157981600</v>
      </c>
      <c r="E57" s="51">
        <f t="shared" si="40"/>
        <v>137506834</v>
      </c>
      <c r="F57" s="51">
        <f t="shared" si="40"/>
        <v>153246188.80000001</v>
      </c>
      <c r="G57" s="51">
        <f t="shared" si="40"/>
        <v>150648157</v>
      </c>
      <c r="H57" s="51">
        <f t="shared" si="40"/>
        <v>157439000.80000001</v>
      </c>
      <c r="I57" s="51">
        <f t="shared" si="40"/>
        <v>156191500</v>
      </c>
      <c r="J57" s="51">
        <f t="shared" si="40"/>
        <v>164714762.80000001</v>
      </c>
      <c r="K57" s="51">
        <f t="shared" si="40"/>
        <v>166866661.90000001</v>
      </c>
      <c r="L57" s="51">
        <f t="shared" si="40"/>
        <v>163900864</v>
      </c>
      <c r="M57" s="51">
        <f t="shared" si="40"/>
        <v>171207455.5</v>
      </c>
      <c r="N57" s="51">
        <f t="shared" si="40"/>
        <v>168125500</v>
      </c>
      <c r="O57" s="51">
        <f t="shared" si="40"/>
        <v>175597576.30000001</v>
      </c>
      <c r="P57" s="51">
        <f>SUM(D57:O57)</f>
        <v>1923426101.0999999</v>
      </c>
      <c r="Q57" s="4"/>
    </row>
    <row r="58" spans="1:17" ht="15.75">
      <c r="A58" s="5"/>
      <c r="B58" s="72" t="s">
        <v>29</v>
      </c>
      <c r="C58" s="31"/>
      <c r="D58" s="75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4"/>
    </row>
    <row r="59" spans="1:17" ht="15.75">
      <c r="A59" s="5"/>
      <c r="B59" s="73" t="s">
        <v>84</v>
      </c>
      <c r="C59" s="31">
        <v>0.02</v>
      </c>
      <c r="D59" s="14">
        <f t="shared" ref="D59:O59" si="41">$C$59*D17</f>
        <v>17409600</v>
      </c>
      <c r="E59" s="14">
        <f t="shared" si="41"/>
        <v>15000804</v>
      </c>
      <c r="F59" s="14">
        <f t="shared" si="41"/>
        <v>16852492.800000001</v>
      </c>
      <c r="G59" s="14">
        <f t="shared" si="41"/>
        <v>16546842</v>
      </c>
      <c r="H59" s="14">
        <f t="shared" si="41"/>
        <v>17345764.800000001</v>
      </c>
      <c r="I59" s="14">
        <f t="shared" si="41"/>
        <v>17199000</v>
      </c>
      <c r="J59" s="14">
        <f t="shared" si="41"/>
        <v>18201736.800000001</v>
      </c>
      <c r="K59" s="14">
        <f t="shared" si="41"/>
        <v>18454901.400000002</v>
      </c>
      <c r="L59" s="14">
        <f t="shared" si="41"/>
        <v>18105984</v>
      </c>
      <c r="M59" s="14">
        <f t="shared" si="41"/>
        <v>18965583</v>
      </c>
      <c r="N59" s="14">
        <f t="shared" si="41"/>
        <v>18603000</v>
      </c>
      <c r="O59" s="14">
        <f t="shared" si="41"/>
        <v>19482067.800000001</v>
      </c>
      <c r="P59" s="14">
        <f t="shared" ref="P59:P62" si="42">SUM(D59:O59)</f>
        <v>212167776.59999999</v>
      </c>
      <c r="Q59" s="4"/>
    </row>
    <row r="60" spans="1:17" ht="15.75">
      <c r="A60" s="5"/>
      <c r="B60" s="73" t="s">
        <v>31</v>
      </c>
      <c r="C60" s="31">
        <v>1.4999999999999999E-2</v>
      </c>
      <c r="D60" s="14">
        <f t="shared" ref="D60:O60" si="43">$C$60*D17</f>
        <v>13057200</v>
      </c>
      <c r="E60" s="14">
        <f t="shared" si="43"/>
        <v>11250603</v>
      </c>
      <c r="F60" s="14">
        <f t="shared" si="43"/>
        <v>12639369.6</v>
      </c>
      <c r="G60" s="14">
        <f t="shared" si="43"/>
        <v>12410131.5</v>
      </c>
      <c r="H60" s="14">
        <f t="shared" si="43"/>
        <v>13009323.6</v>
      </c>
      <c r="I60" s="14">
        <f t="shared" si="43"/>
        <v>12899250</v>
      </c>
      <c r="J60" s="14">
        <f t="shared" si="43"/>
        <v>13651302.6</v>
      </c>
      <c r="K60" s="14">
        <f t="shared" si="43"/>
        <v>13841176.049999999</v>
      </c>
      <c r="L60" s="14">
        <f t="shared" si="43"/>
        <v>13579488</v>
      </c>
      <c r="M60" s="14">
        <f t="shared" si="43"/>
        <v>14224187.25</v>
      </c>
      <c r="N60" s="14">
        <f t="shared" si="43"/>
        <v>13952250</v>
      </c>
      <c r="O60" s="14">
        <f t="shared" si="43"/>
        <v>14611550.85</v>
      </c>
      <c r="P60" s="14">
        <f t="shared" si="42"/>
        <v>159125832.44999999</v>
      </c>
      <c r="Q60" s="4"/>
    </row>
    <row r="61" spans="1:17" ht="15.75">
      <c r="A61" s="5"/>
      <c r="B61" s="73" t="s">
        <v>32</v>
      </c>
      <c r="C61" s="31">
        <v>0.02</v>
      </c>
      <c r="D61" s="14">
        <f t="shared" ref="D61:O61" si="44">$C$61*D17</f>
        <v>17409600</v>
      </c>
      <c r="E61" s="14">
        <f t="shared" si="44"/>
        <v>15000804</v>
      </c>
      <c r="F61" s="14">
        <f t="shared" si="44"/>
        <v>16852492.800000001</v>
      </c>
      <c r="G61" s="14">
        <f t="shared" si="44"/>
        <v>16546842</v>
      </c>
      <c r="H61" s="14">
        <f t="shared" si="44"/>
        <v>17345764.800000001</v>
      </c>
      <c r="I61" s="14">
        <f t="shared" si="44"/>
        <v>17199000</v>
      </c>
      <c r="J61" s="14">
        <f t="shared" si="44"/>
        <v>18201736.800000001</v>
      </c>
      <c r="K61" s="14">
        <f t="shared" si="44"/>
        <v>18454901.400000002</v>
      </c>
      <c r="L61" s="14">
        <f t="shared" si="44"/>
        <v>18105984</v>
      </c>
      <c r="M61" s="14">
        <f t="shared" si="44"/>
        <v>18965583</v>
      </c>
      <c r="N61" s="14">
        <f t="shared" si="44"/>
        <v>18603000</v>
      </c>
      <c r="O61" s="14">
        <f t="shared" si="44"/>
        <v>19482067.800000001</v>
      </c>
      <c r="P61" s="14">
        <f t="shared" si="42"/>
        <v>212167776.59999999</v>
      </c>
      <c r="Q61" s="4"/>
    </row>
    <row r="62" spans="1:17" ht="15.75">
      <c r="A62" s="5"/>
      <c r="B62" s="101" t="s">
        <v>33</v>
      </c>
      <c r="C62" s="102"/>
      <c r="D62" s="103">
        <f t="shared" ref="D62:O62" si="45">SUM(D59:D61)</f>
        <v>47876400</v>
      </c>
      <c r="E62" s="103">
        <f t="shared" si="45"/>
        <v>41252211</v>
      </c>
      <c r="F62" s="103">
        <f t="shared" si="45"/>
        <v>46344355.200000003</v>
      </c>
      <c r="G62" s="103">
        <f t="shared" si="45"/>
        <v>45503815.5</v>
      </c>
      <c r="H62" s="103">
        <f t="shared" si="45"/>
        <v>47700853.200000003</v>
      </c>
      <c r="I62" s="103">
        <f t="shared" si="45"/>
        <v>47297250</v>
      </c>
      <c r="J62" s="103">
        <f t="shared" si="45"/>
        <v>50054776.200000003</v>
      </c>
      <c r="K62" s="103">
        <f t="shared" si="45"/>
        <v>50750978.850000009</v>
      </c>
      <c r="L62" s="103">
        <f t="shared" si="45"/>
        <v>49791456</v>
      </c>
      <c r="M62" s="103">
        <f t="shared" si="45"/>
        <v>52155353.25</v>
      </c>
      <c r="N62" s="103">
        <f t="shared" si="45"/>
        <v>51158250</v>
      </c>
      <c r="O62" s="103">
        <f t="shared" si="45"/>
        <v>53575686.450000003</v>
      </c>
      <c r="P62" s="103">
        <f t="shared" si="42"/>
        <v>583461385.64999998</v>
      </c>
      <c r="Q62" s="4"/>
    </row>
    <row r="63" spans="1:17" ht="15.75">
      <c r="A63" s="5"/>
      <c r="B63" s="65" t="s">
        <v>37</v>
      </c>
      <c r="C63" s="66"/>
      <c r="D63" s="104">
        <f t="shared" ref="D63:P63" si="46">D51+D57+D62</f>
        <v>227620000</v>
      </c>
      <c r="E63" s="46">
        <f t="shared" si="46"/>
        <v>197510050</v>
      </c>
      <c r="F63" s="46">
        <f t="shared" si="46"/>
        <v>220656160</v>
      </c>
      <c r="G63" s="46">
        <f t="shared" si="46"/>
        <v>216835525</v>
      </c>
      <c r="H63" s="46">
        <f t="shared" si="46"/>
        <v>226822060</v>
      </c>
      <c r="I63" s="46">
        <f t="shared" si="46"/>
        <v>224987500</v>
      </c>
      <c r="J63" s="46">
        <f t="shared" si="46"/>
        <v>237521710</v>
      </c>
      <c r="K63" s="46">
        <f t="shared" si="46"/>
        <v>240686267.5</v>
      </c>
      <c r="L63" s="46">
        <f t="shared" si="46"/>
        <v>236324800</v>
      </c>
      <c r="M63" s="46">
        <f t="shared" si="46"/>
        <v>247069787.5</v>
      </c>
      <c r="N63" s="46">
        <f t="shared" si="46"/>
        <v>242537500</v>
      </c>
      <c r="O63" s="46">
        <f t="shared" si="46"/>
        <v>253525847.5</v>
      </c>
      <c r="P63" s="46">
        <f t="shared" si="46"/>
        <v>2772097207.5</v>
      </c>
      <c r="Q63" s="4"/>
    </row>
    <row r="64" spans="1:17" ht="16.5" thickBot="1">
      <c r="A64" s="5"/>
      <c r="B64" s="151"/>
      <c r="C64" s="110">
        <v>0.26</v>
      </c>
      <c r="D64" s="111">
        <f t="shared" ref="D64:P64" si="47">D63/D17</f>
        <v>0.26148791471372118</v>
      </c>
      <c r="E64" s="121">
        <f t="shared" si="47"/>
        <v>0.26333261870497077</v>
      </c>
      <c r="F64" s="121">
        <f t="shared" si="47"/>
        <v>0.26186768048938136</v>
      </c>
      <c r="G64" s="121">
        <f t="shared" si="47"/>
        <v>0.26208689851513661</v>
      </c>
      <c r="H64" s="121">
        <f t="shared" si="47"/>
        <v>0.26153019208469841</v>
      </c>
      <c r="I64" s="121">
        <f t="shared" si="47"/>
        <v>0.26162858305715447</v>
      </c>
      <c r="J64" s="121">
        <f t="shared" si="47"/>
        <v>0.26098796242345401</v>
      </c>
      <c r="K64" s="121">
        <f t="shared" si="47"/>
        <v>0.26083722939858134</v>
      </c>
      <c r="L64" s="121">
        <f t="shared" si="47"/>
        <v>0.26104607184011652</v>
      </c>
      <c r="M64" s="121">
        <f t="shared" si="47"/>
        <v>0.2605454179816144</v>
      </c>
      <c r="N64" s="121">
        <f t="shared" si="47"/>
        <v>0.26075095414718058</v>
      </c>
      <c r="O64" s="121">
        <f t="shared" si="47"/>
        <v>0.26026585073274411</v>
      </c>
      <c r="P64" s="110">
        <f t="shared" si="47"/>
        <v>0.26131180256710101</v>
      </c>
      <c r="Q64" s="4"/>
    </row>
    <row r="65" spans="1:17" ht="17.25" thickTop="1" thickBot="1">
      <c r="A65" s="5"/>
      <c r="B65" s="152" t="s">
        <v>77</v>
      </c>
      <c r="C65" s="86">
        <f>D65/D17</f>
        <v>5.5555555555555552E-2</v>
      </c>
      <c r="D65" s="155">
        <f>-D16*0.5</f>
        <v>48360000</v>
      </c>
      <c r="E65" s="155">
        <f t="shared" ref="E65:O65" si="48">-E16*0.5</f>
        <v>41668900</v>
      </c>
      <c r="F65" s="155">
        <f t="shared" si="48"/>
        <v>46812480</v>
      </c>
      <c r="G65" s="155">
        <f t="shared" si="48"/>
        <v>45963450</v>
      </c>
      <c r="H65" s="155">
        <f t="shared" si="48"/>
        <v>48182680</v>
      </c>
      <c r="I65" s="155">
        <f t="shared" si="48"/>
        <v>47775000</v>
      </c>
      <c r="J65" s="155">
        <f t="shared" si="48"/>
        <v>50560380</v>
      </c>
      <c r="K65" s="155">
        <f t="shared" si="48"/>
        <v>51263615</v>
      </c>
      <c r="L65" s="155">
        <f t="shared" si="48"/>
        <v>50294400</v>
      </c>
      <c r="M65" s="155">
        <f t="shared" si="48"/>
        <v>52682175</v>
      </c>
      <c r="N65" s="155">
        <f t="shared" si="48"/>
        <v>51675000</v>
      </c>
      <c r="O65" s="155">
        <f t="shared" si="48"/>
        <v>54116855</v>
      </c>
      <c r="P65" s="38">
        <f>SUM(D65:O65)</f>
        <v>589354935</v>
      </c>
      <c r="Q65" s="4"/>
    </row>
    <row r="66" spans="1:17" ht="16.5" thickTop="1">
      <c r="A66" s="5"/>
      <c r="B66" s="48" t="s">
        <v>34</v>
      </c>
      <c r="C66" s="36"/>
      <c r="D66" s="37">
        <f t="shared" ref="D66:O66" si="49">(D30+D65)-(D63+D46)</f>
        <v>189186600</v>
      </c>
      <c r="E66" s="37">
        <f t="shared" si="49"/>
        <v>131910784</v>
      </c>
      <c r="F66" s="37">
        <f t="shared" si="49"/>
        <v>175939828.79999995</v>
      </c>
      <c r="G66" s="37">
        <f t="shared" si="49"/>
        <v>168672132</v>
      </c>
      <c r="H66" s="37">
        <f t="shared" si="49"/>
        <v>187668740.79999995</v>
      </c>
      <c r="I66" s="37">
        <f t="shared" si="49"/>
        <v>184179000</v>
      </c>
      <c r="J66" s="37">
        <f t="shared" si="49"/>
        <v>208021852.79999995</v>
      </c>
      <c r="K66" s="37">
        <f t="shared" si="49"/>
        <v>214041544.39999998</v>
      </c>
      <c r="L66" s="37">
        <f t="shared" si="49"/>
        <v>205745064</v>
      </c>
      <c r="M66" s="37">
        <f t="shared" si="49"/>
        <v>226184418</v>
      </c>
      <c r="N66" s="37">
        <f t="shared" si="49"/>
        <v>217563000</v>
      </c>
      <c r="O66" s="37">
        <f t="shared" si="49"/>
        <v>238465278.79999995</v>
      </c>
      <c r="P66" s="38">
        <f>SUM(D66:O66)</f>
        <v>2347578243.5999994</v>
      </c>
      <c r="Q66" s="97"/>
    </row>
    <row r="67" spans="1:17" ht="16.5" thickBot="1">
      <c r="A67" s="5"/>
      <c r="B67" s="49" t="s">
        <v>35</v>
      </c>
      <c r="C67" s="40">
        <f>(C31+C65)-(C47+C64)</f>
        <v>0.24555555555555553</v>
      </c>
      <c r="D67" s="42">
        <f t="shared" ref="D67:P67" si="50">D66/D17</f>
        <v>0.21733595257788807</v>
      </c>
      <c r="E67" s="42">
        <f t="shared" si="50"/>
        <v>0.17587161861457559</v>
      </c>
      <c r="F67" s="42">
        <f t="shared" si="50"/>
        <v>0.20879976735548578</v>
      </c>
      <c r="G67" s="42">
        <f t="shared" si="50"/>
        <v>0.20387229418157254</v>
      </c>
      <c r="H67" s="42">
        <f t="shared" si="50"/>
        <v>0.21638566297174738</v>
      </c>
      <c r="I67" s="42">
        <f t="shared" si="50"/>
        <v>0.21417407988836559</v>
      </c>
      <c r="J67" s="42">
        <f t="shared" si="50"/>
        <v>0.22857363018236804</v>
      </c>
      <c r="K67" s="42">
        <f t="shared" si="50"/>
        <v>0.23196173174894338</v>
      </c>
      <c r="L67" s="42">
        <f t="shared" si="50"/>
        <v>0.22726747576933681</v>
      </c>
      <c r="M67" s="42">
        <f t="shared" si="50"/>
        <v>0.23852092287381832</v>
      </c>
      <c r="N67" s="42">
        <f t="shared" si="50"/>
        <v>0.23390098371230447</v>
      </c>
      <c r="O67" s="42">
        <f t="shared" si="50"/>
        <v>0.24480489571030026</v>
      </c>
      <c r="P67" s="42">
        <f t="shared" si="50"/>
        <v>0.22129451335354186</v>
      </c>
      <c r="Q67" s="4"/>
    </row>
    <row r="68" spans="1:17" ht="16.5" thickTop="1">
      <c r="A68" s="5"/>
      <c r="B68" s="88"/>
      <c r="C68" s="89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1"/>
      <c r="P68" s="96"/>
      <c r="Q68" s="76"/>
    </row>
    <row r="69" spans="1:17" ht="15" customHeight="1">
      <c r="B69" s="93" t="s">
        <v>69</v>
      </c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69"/>
      <c r="P69" s="107"/>
    </row>
    <row r="70" spans="1:17"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</row>
    <row r="71" spans="1:17" ht="15.75" customHeight="1">
      <c r="B71" s="93" t="s">
        <v>70</v>
      </c>
      <c r="C71" s="113"/>
      <c r="D71" s="112">
        <f t="shared" ref="D71:O71" si="51">D63+D46</f>
        <v>442395000</v>
      </c>
      <c r="E71" s="112">
        <f t="shared" si="51"/>
        <v>412285050</v>
      </c>
      <c r="F71" s="112">
        <f t="shared" si="51"/>
        <v>435431160</v>
      </c>
      <c r="G71" s="112">
        <f t="shared" si="51"/>
        <v>431610525</v>
      </c>
      <c r="H71" s="112">
        <f t="shared" si="51"/>
        <v>441597060</v>
      </c>
      <c r="I71" s="112">
        <f t="shared" si="51"/>
        <v>439762500</v>
      </c>
      <c r="J71" s="112">
        <f t="shared" si="51"/>
        <v>452296710</v>
      </c>
      <c r="K71" s="112">
        <f t="shared" si="51"/>
        <v>455461267.5</v>
      </c>
      <c r="L71" s="112">
        <f t="shared" si="51"/>
        <v>451099800</v>
      </c>
      <c r="M71" s="112">
        <f t="shared" si="51"/>
        <v>461844787.5</v>
      </c>
      <c r="N71" s="112">
        <f t="shared" si="51"/>
        <v>457312500</v>
      </c>
      <c r="O71" s="112">
        <f t="shared" si="51"/>
        <v>468300847.5</v>
      </c>
    </row>
    <row r="72" spans="1:17" ht="15" customHeight="1">
      <c r="B72" s="93" t="s">
        <v>72</v>
      </c>
      <c r="C72" s="93"/>
      <c r="D72" s="112">
        <f t="shared" ref="D72:O72" si="52">D29</f>
        <v>287258400</v>
      </c>
      <c r="E72" s="112">
        <f t="shared" si="52"/>
        <v>247513266.00000003</v>
      </c>
      <c r="F72" s="112">
        <f t="shared" si="52"/>
        <v>278066131.19999999</v>
      </c>
      <c r="G72" s="112">
        <f t="shared" si="52"/>
        <v>273022893</v>
      </c>
      <c r="H72" s="112">
        <f t="shared" si="52"/>
        <v>286205119.19999999</v>
      </c>
      <c r="I72" s="112">
        <f t="shared" si="52"/>
        <v>283783500</v>
      </c>
      <c r="J72" s="112">
        <f t="shared" si="52"/>
        <v>300328657.20000005</v>
      </c>
      <c r="K72" s="112">
        <f t="shared" si="52"/>
        <v>304505873.10000002</v>
      </c>
      <c r="L72" s="112">
        <f t="shared" si="52"/>
        <v>298748736</v>
      </c>
      <c r="M72" s="112">
        <f t="shared" si="52"/>
        <v>312932119.5</v>
      </c>
      <c r="N72" s="112">
        <f t="shared" si="52"/>
        <v>306949500</v>
      </c>
      <c r="O72" s="112">
        <f t="shared" si="52"/>
        <v>321454118.69999999</v>
      </c>
    </row>
    <row r="73" spans="1:17">
      <c r="B73" s="93"/>
      <c r="C73" s="93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</row>
    <row r="74" spans="1:17" ht="15" customHeight="1">
      <c r="B74" s="93" t="s">
        <v>71</v>
      </c>
      <c r="C74" s="93"/>
      <c r="D74" s="112">
        <f>(D72/0.69)+D71</f>
        <v>858711521.7391305</v>
      </c>
      <c r="E74" s="112">
        <f t="shared" ref="E74:O74" si="53">(E72/0.69)+E71</f>
        <v>770999928.26086962</v>
      </c>
      <c r="F74" s="112">
        <f t="shared" si="53"/>
        <v>838425553.04347825</v>
      </c>
      <c r="G74" s="112">
        <f t="shared" si="53"/>
        <v>827295877.173913</v>
      </c>
      <c r="H74" s="112">
        <f t="shared" si="53"/>
        <v>856387087.826087</v>
      </c>
      <c r="I74" s="112">
        <f t="shared" si="53"/>
        <v>851042934.78260875</v>
      </c>
      <c r="J74" s="112">
        <f t="shared" si="53"/>
        <v>887555633.47826099</v>
      </c>
      <c r="K74" s="112">
        <f t="shared" si="53"/>
        <v>896774127.06521749</v>
      </c>
      <c r="L74" s="112">
        <f t="shared" si="53"/>
        <v>884068982.60869575</v>
      </c>
      <c r="M74" s="112">
        <f t="shared" si="53"/>
        <v>915369598.36956525</v>
      </c>
      <c r="N74" s="112">
        <f t="shared" si="53"/>
        <v>902166847.826087</v>
      </c>
      <c r="O74" s="112">
        <f t="shared" si="53"/>
        <v>934176381.84782612</v>
      </c>
    </row>
    <row r="75" spans="1:17" ht="15" customHeight="1">
      <c r="B75" s="93" t="s">
        <v>73</v>
      </c>
      <c r="C75" s="93"/>
      <c r="D75" s="112">
        <f t="shared" ref="D75:O75" si="54">D74/D6</f>
        <v>27700371.669004209</v>
      </c>
      <c r="E75" s="112">
        <f t="shared" si="54"/>
        <v>27535711.723602485</v>
      </c>
      <c r="F75" s="112">
        <f t="shared" si="54"/>
        <v>27045985.582047686</v>
      </c>
      <c r="G75" s="112">
        <f t="shared" si="54"/>
        <v>27576529.239130434</v>
      </c>
      <c r="H75" s="112">
        <f t="shared" si="54"/>
        <v>27625389.929873776</v>
      </c>
      <c r="I75" s="112">
        <f t="shared" si="54"/>
        <v>28368097.826086957</v>
      </c>
      <c r="J75" s="112">
        <f t="shared" si="54"/>
        <v>28630826.886395518</v>
      </c>
      <c r="K75" s="112">
        <f t="shared" si="54"/>
        <v>28928197.64726508</v>
      </c>
      <c r="L75" s="112">
        <f t="shared" si="54"/>
        <v>29468966.086956523</v>
      </c>
      <c r="M75" s="112">
        <f t="shared" si="54"/>
        <v>29528051.560308557</v>
      </c>
      <c r="N75" s="112">
        <f t="shared" si="54"/>
        <v>30072228.260869566</v>
      </c>
      <c r="O75" s="112">
        <f t="shared" si="54"/>
        <v>30134721.995091166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Rosalita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</dc:creator>
  <cp:lastModifiedBy>Graham Bristow</cp:lastModifiedBy>
  <cp:lastPrinted>2026-04-05T07:48:51Z</cp:lastPrinted>
  <dcterms:created xsi:type="dcterms:W3CDTF">2023-04-24T06:17:13Z</dcterms:created>
  <dcterms:modified xsi:type="dcterms:W3CDTF">2026-06-22T07:43:12Z</dcterms:modified>
</cp:coreProperties>
</file>