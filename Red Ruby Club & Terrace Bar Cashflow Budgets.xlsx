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13_ncr:1_{864CB0C7-8FB1-4D5B-846D-51DFA3CBE1BD}" xr6:coauthVersionLast="46" xr6:coauthVersionMax="46" xr10:uidLastSave="{00000000-0000-0000-0000-000000000000}"/>
  <bookViews>
    <workbookView xWindow="-120" yWindow="-120" windowWidth="29040" windowHeight="15720" xr2:uid="{00000000-000D-0000-FFFF-FFFF00000000}"/>
  </bookViews>
  <sheets>
    <sheet name="RedRuby" sheetId="2" r:id="rId1"/>
    <sheet name="Sheet1" sheetId="3" r:id="rId2"/>
  </sheets>
  <calcPr calcId="181029"/>
</workbook>
</file>

<file path=xl/calcChain.xml><?xml version="1.0" encoding="utf-8"?>
<calcChain xmlns="http://schemas.openxmlformats.org/spreadsheetml/2006/main">
  <c r="I25" i="2" l="1"/>
  <c r="I23" i="2"/>
  <c r="I21" i="2"/>
  <c r="I31" i="2"/>
  <c r="I30" i="2"/>
  <c r="I27" i="2"/>
  <c r="R14" i="2"/>
  <c r="R10" i="2"/>
  <c r="J13" i="2"/>
  <c r="K13" i="2" s="1"/>
  <c r="L13" i="2" s="1"/>
  <c r="M13" i="2" s="1"/>
  <c r="N13" i="2" s="1"/>
  <c r="O13" i="2" s="1"/>
  <c r="I13" i="2"/>
  <c r="J9" i="2"/>
  <c r="K9" i="2" s="1"/>
  <c r="L9" i="2" s="1"/>
  <c r="M9" i="2" s="1"/>
  <c r="N9" i="2" s="1"/>
  <c r="O9" i="2" s="1"/>
  <c r="I9" i="2"/>
  <c r="J11" i="2"/>
  <c r="K11" i="2" s="1"/>
  <c r="L11" i="2" s="1"/>
  <c r="M11" i="2" s="1"/>
  <c r="N11" i="2" s="1"/>
  <c r="O11" i="2" s="1"/>
  <c r="I11" i="2"/>
  <c r="J7" i="2"/>
  <c r="K7" i="2" s="1"/>
  <c r="L7" i="2" s="1"/>
  <c r="M7" i="2" s="1"/>
  <c r="N7" i="2" s="1"/>
  <c r="O7" i="2" s="1"/>
  <c r="I7" i="2"/>
  <c r="I100" i="2"/>
  <c r="H90" i="2"/>
  <c r="H92" i="2"/>
  <c r="H82" i="2"/>
  <c r="H44" i="2"/>
  <c r="H42" i="2"/>
  <c r="H41" i="2"/>
  <c r="G90" i="2"/>
  <c r="F90" i="2"/>
  <c r="E90" i="2"/>
  <c r="G82" i="2"/>
  <c r="F82" i="2"/>
  <c r="E82" i="2"/>
  <c r="H37" i="2"/>
  <c r="G37" i="2"/>
  <c r="F37" i="2"/>
  <c r="E37" i="2"/>
  <c r="D37" i="2"/>
  <c r="D90" i="2"/>
  <c r="D82" i="2"/>
  <c r="G42" i="2"/>
  <c r="F42" i="2"/>
  <c r="E42" i="2"/>
  <c r="D42" i="2"/>
  <c r="P96" i="2"/>
  <c r="G92" i="2"/>
  <c r="F92" i="2"/>
  <c r="E92" i="2"/>
  <c r="D92" i="2"/>
  <c r="H114" i="2"/>
  <c r="I114" i="2" s="1"/>
  <c r="J114" i="2" s="1"/>
  <c r="K114" i="2" s="1"/>
  <c r="L114" i="2" s="1"/>
  <c r="M114" i="2" s="1"/>
  <c r="M165" i="2"/>
  <c r="L165" i="2"/>
  <c r="K165" i="2"/>
  <c r="J165" i="2"/>
  <c r="I165" i="2"/>
  <c r="F112" i="2"/>
  <c r="G112" i="2" s="1"/>
  <c r="H112" i="2" s="1"/>
  <c r="I112" i="2" s="1"/>
  <c r="J112" i="2" s="1"/>
  <c r="K112" i="2" s="1"/>
  <c r="L112" i="2" s="1"/>
  <c r="M112" i="2" s="1"/>
  <c r="M156" i="2"/>
  <c r="L156" i="2"/>
  <c r="K156" i="2"/>
  <c r="J156" i="2"/>
  <c r="I156" i="2"/>
  <c r="H156" i="2"/>
  <c r="G156" i="2"/>
  <c r="F156" i="2"/>
  <c r="E156" i="2"/>
  <c r="D153" i="2"/>
  <c r="D151" i="2"/>
  <c r="D149" i="2"/>
  <c r="D147" i="2"/>
  <c r="D145" i="2"/>
  <c r="D143" i="2"/>
  <c r="D141" i="2"/>
  <c r="D139" i="2"/>
  <c r="D137" i="2"/>
  <c r="P67" i="2"/>
  <c r="D156" i="2" s="1"/>
  <c r="O67" i="2"/>
  <c r="N67" i="2"/>
  <c r="M67" i="2"/>
  <c r="L67" i="2"/>
  <c r="K67" i="2"/>
  <c r="J67" i="2"/>
  <c r="I67" i="2"/>
  <c r="H67" i="2"/>
  <c r="G67" i="2"/>
  <c r="F67" i="2"/>
  <c r="E67" i="2"/>
  <c r="D67" i="2"/>
  <c r="O49" i="2"/>
  <c r="N49" i="2"/>
  <c r="M49" i="2"/>
  <c r="L49" i="2"/>
  <c r="K49" i="2"/>
  <c r="J49" i="2"/>
  <c r="I49" i="2"/>
  <c r="H49" i="2"/>
  <c r="G49" i="2"/>
  <c r="F49" i="2"/>
  <c r="E49" i="2"/>
  <c r="D49" i="2"/>
  <c r="D135" i="2"/>
  <c r="E136" i="2"/>
  <c r="F136" i="2" s="1"/>
  <c r="G136" i="2" s="1"/>
  <c r="I136" i="2" s="1"/>
  <c r="J136" i="2" s="1"/>
  <c r="L136" i="2" s="1"/>
  <c r="M136" i="2" s="1"/>
  <c r="H165" i="2"/>
  <c r="G165" i="2"/>
  <c r="F165" i="2"/>
  <c r="E165" i="2"/>
  <c r="I192" i="2"/>
  <c r="H192" i="2"/>
  <c r="G192" i="2"/>
  <c r="I191" i="2"/>
  <c r="H191" i="2"/>
  <c r="G191" i="2"/>
  <c r="I190" i="2"/>
  <c r="H190" i="2"/>
  <c r="G190" i="2"/>
  <c r="I189" i="2"/>
  <c r="H189" i="2"/>
  <c r="G189" i="2"/>
  <c r="F192" i="2"/>
  <c r="F191" i="2"/>
  <c r="F190" i="2"/>
  <c r="F189" i="2"/>
  <c r="I188" i="2"/>
  <c r="H188" i="2"/>
  <c r="G188" i="2"/>
  <c r="E188" i="2"/>
  <c r="F188" i="2"/>
  <c r="E192" i="2"/>
  <c r="E191" i="2"/>
  <c r="E190" i="2"/>
  <c r="E189" i="2"/>
  <c r="D193" i="2"/>
  <c r="P49" i="2" l="1"/>
  <c r="D138" i="2" s="1"/>
  <c r="J191" i="2"/>
  <c r="K191" i="2" s="1"/>
  <c r="M191" i="2" s="1"/>
  <c r="L191" i="2" s="1"/>
  <c r="J189" i="2"/>
  <c r="K189" i="2" s="1"/>
  <c r="M189" i="2" s="1"/>
  <c r="L189" i="2" s="1"/>
  <c r="J192" i="2"/>
  <c r="K192" i="2" s="1"/>
  <c r="M192" i="2" s="1"/>
  <c r="L192" i="2" s="1"/>
  <c r="J190" i="2"/>
  <c r="K190" i="2" s="1"/>
  <c r="M190" i="2" s="1"/>
  <c r="L190" i="2" s="1"/>
  <c r="J188" i="2"/>
  <c r="K188" i="2" s="1"/>
  <c r="K193" i="2" l="1"/>
  <c r="M188" i="2"/>
  <c r="L188" i="2" s="1"/>
  <c r="L193" i="2" s="1"/>
  <c r="M193" i="2" l="1"/>
  <c r="J193" i="2" l="1"/>
  <c r="F186" i="2"/>
  <c r="G186" i="2" s="1"/>
  <c r="H186" i="2" s="1"/>
  <c r="I186" i="2" s="1"/>
  <c r="H30" i="2"/>
  <c r="H25" i="2" s="1"/>
  <c r="O43" i="2"/>
  <c r="O96" i="2" s="1"/>
  <c r="N43" i="2"/>
  <c r="N96" i="2" s="1"/>
  <c r="M43" i="2"/>
  <c r="M96" i="2" s="1"/>
  <c r="L43" i="2"/>
  <c r="L96" i="2" s="1"/>
  <c r="K43" i="2"/>
  <c r="K96" i="2" s="1"/>
  <c r="J43" i="2"/>
  <c r="J96" i="2" s="1"/>
  <c r="I43" i="2"/>
  <c r="I96" i="2" s="1"/>
  <c r="H43" i="2"/>
  <c r="H96" i="2" s="1"/>
  <c r="H97" i="2" s="1"/>
  <c r="G43" i="2"/>
  <c r="G96" i="2" s="1"/>
  <c r="G97" i="2" s="1"/>
  <c r="F43" i="2"/>
  <c r="F96" i="2" s="1"/>
  <c r="F97" i="2" s="1"/>
  <c r="E43" i="2"/>
  <c r="E96" i="2" s="1"/>
  <c r="E97" i="2" s="1"/>
  <c r="D43" i="2"/>
  <c r="E11" i="2"/>
  <c r="F11" i="2" s="1"/>
  <c r="G11" i="2" s="1"/>
  <c r="H11" i="2" s="1"/>
  <c r="E9" i="2"/>
  <c r="F9" i="2" s="1"/>
  <c r="G9" i="2" s="1"/>
  <c r="H9" i="2" s="1"/>
  <c r="F7" i="2"/>
  <c r="G7" i="2" s="1"/>
  <c r="H7" i="2" s="1"/>
  <c r="H106" i="2"/>
  <c r="I106" i="2" s="1"/>
  <c r="J106" i="2" s="1"/>
  <c r="K106" i="2" s="1"/>
  <c r="L106" i="2" s="1"/>
  <c r="M106" i="2" s="1"/>
  <c r="D44" i="2" l="1"/>
  <c r="E44" i="2" s="1"/>
  <c r="F44" i="2" s="1"/>
  <c r="G44" i="2" s="1"/>
  <c r="D96" i="2"/>
  <c r="D97" i="2" s="1"/>
  <c r="L194" i="2"/>
  <c r="J196" i="2" s="1"/>
  <c r="M194" i="2"/>
  <c r="J197" i="2" s="1"/>
  <c r="H21" i="2"/>
  <c r="H107" i="2"/>
  <c r="G107" i="2"/>
  <c r="F107" i="2"/>
  <c r="E107" i="2"/>
  <c r="G197" i="2" l="1"/>
  <c r="F197" i="2"/>
  <c r="I197" i="2"/>
  <c r="H197" i="2"/>
  <c r="E197" i="2"/>
  <c r="E196" i="2"/>
  <c r="I196" i="2"/>
  <c r="H196" i="2"/>
  <c r="G196" i="2"/>
  <c r="F196" i="2"/>
  <c r="E152" i="2"/>
  <c r="E148" i="2"/>
  <c r="H116" i="2"/>
  <c r="I116" i="2" s="1"/>
  <c r="J116" i="2" s="1"/>
  <c r="K116" i="2" s="1"/>
  <c r="L116" i="2" s="1"/>
  <c r="M116" i="2" s="1"/>
  <c r="G115" i="2"/>
  <c r="F108" i="2"/>
  <c r="G108" i="2" s="1"/>
  <c r="H108" i="2" s="1"/>
  <c r="I108" i="2" s="1"/>
  <c r="J108" i="2" s="1"/>
  <c r="K108" i="2" s="1"/>
  <c r="L108" i="2" s="1"/>
  <c r="M108" i="2" s="1"/>
  <c r="I107" i="2" l="1"/>
  <c r="O65" i="2"/>
  <c r="N65" i="2"/>
  <c r="M65" i="2"/>
  <c r="L65" i="2"/>
  <c r="K65" i="2"/>
  <c r="J65" i="2"/>
  <c r="I65" i="2"/>
  <c r="H65" i="2"/>
  <c r="G65" i="2"/>
  <c r="F65" i="2"/>
  <c r="E65" i="2"/>
  <c r="O63" i="2"/>
  <c r="N63" i="2"/>
  <c r="M63" i="2"/>
  <c r="L63" i="2"/>
  <c r="K63" i="2"/>
  <c r="J63" i="2"/>
  <c r="I63" i="2"/>
  <c r="H63" i="2"/>
  <c r="G63" i="2"/>
  <c r="F63" i="2"/>
  <c r="E63" i="2"/>
  <c r="O61" i="2"/>
  <c r="N61" i="2"/>
  <c r="M61" i="2"/>
  <c r="L61" i="2"/>
  <c r="K61" i="2"/>
  <c r="J61" i="2"/>
  <c r="I61" i="2"/>
  <c r="H61" i="2"/>
  <c r="G61" i="2"/>
  <c r="F61" i="2"/>
  <c r="E61" i="2"/>
  <c r="D65" i="2"/>
  <c r="D63" i="2"/>
  <c r="D61" i="2"/>
  <c r="O59" i="2"/>
  <c r="N59" i="2"/>
  <c r="M59" i="2"/>
  <c r="L59" i="2"/>
  <c r="K59" i="2"/>
  <c r="J59" i="2"/>
  <c r="I59" i="2"/>
  <c r="H59" i="2"/>
  <c r="G59" i="2"/>
  <c r="F59" i="2"/>
  <c r="E59" i="2"/>
  <c r="D59" i="2"/>
  <c r="O57" i="2"/>
  <c r="N57" i="2"/>
  <c r="M57" i="2"/>
  <c r="L57" i="2"/>
  <c r="K57" i="2"/>
  <c r="J57" i="2"/>
  <c r="I57" i="2"/>
  <c r="H57" i="2"/>
  <c r="G57" i="2"/>
  <c r="F57" i="2"/>
  <c r="E57" i="2"/>
  <c r="O55" i="2"/>
  <c r="N55" i="2"/>
  <c r="M55" i="2"/>
  <c r="L55" i="2"/>
  <c r="K55" i="2"/>
  <c r="J55" i="2"/>
  <c r="I55" i="2"/>
  <c r="H55" i="2"/>
  <c r="G55" i="2"/>
  <c r="F55" i="2"/>
  <c r="E55" i="2"/>
  <c r="D57" i="2"/>
  <c r="D55" i="2"/>
  <c r="O53" i="2"/>
  <c r="N53" i="2"/>
  <c r="M53" i="2"/>
  <c r="L53" i="2"/>
  <c r="K53" i="2"/>
  <c r="J53" i="2"/>
  <c r="I53" i="2"/>
  <c r="H53" i="2"/>
  <c r="G53" i="2"/>
  <c r="F53" i="2"/>
  <c r="E53" i="2"/>
  <c r="D53" i="2"/>
  <c r="O51" i="2"/>
  <c r="N51" i="2"/>
  <c r="M51" i="2"/>
  <c r="L51" i="2"/>
  <c r="K51" i="2"/>
  <c r="J51" i="2"/>
  <c r="I51" i="2"/>
  <c r="H51" i="2"/>
  <c r="G51" i="2"/>
  <c r="F51" i="2"/>
  <c r="E51" i="2"/>
  <c r="D51" i="2"/>
  <c r="G30" i="2"/>
  <c r="G25" i="2" s="1"/>
  <c r="E12" i="2"/>
  <c r="D12" i="2"/>
  <c r="D8" i="2"/>
  <c r="M154" i="2"/>
  <c r="L154" i="2"/>
  <c r="K154" i="2"/>
  <c r="J154" i="2"/>
  <c r="I154" i="2"/>
  <c r="H154" i="2"/>
  <c r="G154" i="2"/>
  <c r="F154" i="2"/>
  <c r="E154" i="2"/>
  <c r="M152" i="2"/>
  <c r="L152" i="2"/>
  <c r="K152" i="2"/>
  <c r="J152" i="2"/>
  <c r="I152" i="2"/>
  <c r="H152" i="2"/>
  <c r="G152" i="2"/>
  <c r="F152" i="2"/>
  <c r="M150" i="2"/>
  <c r="L150" i="2"/>
  <c r="K150" i="2"/>
  <c r="J150" i="2"/>
  <c r="I150" i="2"/>
  <c r="H150" i="2"/>
  <c r="G150" i="2"/>
  <c r="F150" i="2"/>
  <c r="E150" i="2"/>
  <c r="M148" i="2"/>
  <c r="L148" i="2"/>
  <c r="K148" i="2"/>
  <c r="J148" i="2"/>
  <c r="I148" i="2"/>
  <c r="H148" i="2"/>
  <c r="G148" i="2"/>
  <c r="F148" i="2"/>
  <c r="M146" i="2"/>
  <c r="L146" i="2"/>
  <c r="K146" i="2"/>
  <c r="J146" i="2"/>
  <c r="I146" i="2"/>
  <c r="H146" i="2"/>
  <c r="G146" i="2"/>
  <c r="F146" i="2"/>
  <c r="E146" i="2"/>
  <c r="M144" i="2"/>
  <c r="L144" i="2"/>
  <c r="K144" i="2"/>
  <c r="J144" i="2"/>
  <c r="I144" i="2"/>
  <c r="H144" i="2"/>
  <c r="G144" i="2"/>
  <c r="F144" i="2"/>
  <c r="E144" i="2"/>
  <c r="M142" i="2"/>
  <c r="L142" i="2"/>
  <c r="K142" i="2"/>
  <c r="J142" i="2"/>
  <c r="I142" i="2"/>
  <c r="H142" i="2"/>
  <c r="G142" i="2"/>
  <c r="F142" i="2"/>
  <c r="E142" i="2"/>
  <c r="M140" i="2"/>
  <c r="L140" i="2"/>
  <c r="K140" i="2"/>
  <c r="J140" i="2"/>
  <c r="I140" i="2"/>
  <c r="H140" i="2"/>
  <c r="G140" i="2"/>
  <c r="F140" i="2"/>
  <c r="E140" i="2"/>
  <c r="M138" i="2"/>
  <c r="L138" i="2"/>
  <c r="K138" i="2"/>
  <c r="J138" i="2"/>
  <c r="I138" i="2"/>
  <c r="H138" i="2"/>
  <c r="G138" i="2"/>
  <c r="F138" i="2"/>
  <c r="E138" i="2"/>
  <c r="E109" i="2"/>
  <c r="E102" i="2"/>
  <c r="F102" i="2" s="1"/>
  <c r="G102" i="2" s="1"/>
  <c r="H102" i="2" s="1"/>
  <c r="I102" i="2" s="1"/>
  <c r="J102" i="2" s="1"/>
  <c r="K102" i="2" s="1"/>
  <c r="L102" i="2" s="1"/>
  <c r="M102" i="2" s="1"/>
  <c r="P86" i="2"/>
  <c r="P83" i="2"/>
  <c r="P78" i="2"/>
  <c r="D165" i="2" s="1"/>
  <c r="F27" i="2"/>
  <c r="E27" i="2"/>
  <c r="D27" i="2"/>
  <c r="E13" i="2"/>
  <c r="P5" i="2"/>
  <c r="D173" i="2" l="1"/>
  <c r="E173" i="2" s="1"/>
  <c r="F173" i="2" s="1"/>
  <c r="G173" i="2" s="1"/>
  <c r="H173" i="2" s="1"/>
  <c r="I173" i="2" s="1"/>
  <c r="J173" i="2" s="1"/>
  <c r="K173" i="2" s="1"/>
  <c r="L173" i="2" s="1"/>
  <c r="M173" i="2" s="1"/>
  <c r="D170" i="2"/>
  <c r="E170" i="2" s="1"/>
  <c r="F170" i="2" s="1"/>
  <c r="G170" i="2" s="1"/>
  <c r="H170" i="2" s="1"/>
  <c r="I170" i="2" s="1"/>
  <c r="J170" i="2" s="1"/>
  <c r="K170" i="2" s="1"/>
  <c r="L170" i="2" s="1"/>
  <c r="M170" i="2" s="1"/>
  <c r="F155" i="2"/>
  <c r="F157" i="2" s="1"/>
  <c r="G155" i="2"/>
  <c r="G157" i="2" s="1"/>
  <c r="H155" i="2"/>
  <c r="H157" i="2" s="1"/>
  <c r="M155" i="2"/>
  <c r="M157" i="2" s="1"/>
  <c r="L155" i="2"/>
  <c r="L157" i="2" s="1"/>
  <c r="K155" i="2"/>
  <c r="K157" i="2" s="1"/>
  <c r="J155" i="2"/>
  <c r="J157" i="2" s="1"/>
  <c r="I155" i="2"/>
  <c r="I157" i="2" s="1"/>
  <c r="E155" i="2"/>
  <c r="E157" i="2" s="1"/>
  <c r="F13" i="2"/>
  <c r="G13" i="2" s="1"/>
  <c r="H13" i="2" s="1"/>
  <c r="P23" i="2"/>
  <c r="P18" i="2"/>
  <c r="J107" i="2"/>
  <c r="G21" i="2"/>
  <c r="D22" i="2"/>
  <c r="D10" i="2"/>
  <c r="P47" i="2"/>
  <c r="J66" i="2"/>
  <c r="J68" i="2" s="1"/>
  <c r="I66" i="2"/>
  <c r="I68" i="2" s="1"/>
  <c r="H115" i="2"/>
  <c r="L66" i="2"/>
  <c r="L68" i="2" s="1"/>
  <c r="P55" i="2"/>
  <c r="D144" i="2" s="1"/>
  <c r="K66" i="2"/>
  <c r="K68" i="2" s="1"/>
  <c r="E66" i="2"/>
  <c r="E68" i="2" s="1"/>
  <c r="M66" i="2"/>
  <c r="M68" i="2" s="1"/>
  <c r="F66" i="2"/>
  <c r="F68" i="2" s="1"/>
  <c r="N66" i="2"/>
  <c r="N68" i="2" s="1"/>
  <c r="G66" i="2"/>
  <c r="G68" i="2" s="1"/>
  <c r="O66" i="2"/>
  <c r="O68" i="2" s="1"/>
  <c r="H66" i="2"/>
  <c r="H68" i="2" s="1"/>
  <c r="D66" i="2"/>
  <c r="D68" i="2" s="1"/>
  <c r="G12" i="2"/>
  <c r="E14" i="2"/>
  <c r="E34" i="2" s="1"/>
  <c r="F30" i="2"/>
  <c r="F25" i="2" s="1"/>
  <c r="E30" i="2"/>
  <c r="E25" i="2" s="1"/>
  <c r="E8" i="2"/>
  <c r="E22" i="2" s="1"/>
  <c r="P59" i="2"/>
  <c r="D148" i="2" s="1"/>
  <c r="P53" i="2"/>
  <c r="D142" i="2" s="1"/>
  <c r="P61" i="2"/>
  <c r="D150" i="2" s="1"/>
  <c r="P63" i="2"/>
  <c r="D152" i="2" s="1"/>
  <c r="P65" i="2"/>
  <c r="D154" i="2" s="1"/>
  <c r="D14" i="2"/>
  <c r="D19" i="2"/>
  <c r="E19" i="2" s="1"/>
  <c r="F19" i="2" s="1"/>
  <c r="G19" i="2" s="1"/>
  <c r="H19" i="2" s="1"/>
  <c r="I19" i="2" s="1"/>
  <c r="J19" i="2" s="1"/>
  <c r="K19" i="2" s="1"/>
  <c r="L19" i="2" s="1"/>
  <c r="M19" i="2" s="1"/>
  <c r="N19" i="2" s="1"/>
  <c r="O19" i="2" s="1"/>
  <c r="P57" i="2"/>
  <c r="D146" i="2" s="1"/>
  <c r="D30" i="2"/>
  <c r="F109" i="2"/>
  <c r="D136" i="2" l="1"/>
  <c r="G14" i="2"/>
  <c r="G34" i="2" s="1"/>
  <c r="P13" i="2"/>
  <c r="D112" i="2" s="1"/>
  <c r="D31" i="2"/>
  <c r="E31" i="2" s="1"/>
  <c r="F31" i="2" s="1"/>
  <c r="G31" i="2" s="1"/>
  <c r="H31" i="2" s="1"/>
  <c r="D25" i="2"/>
  <c r="K107" i="2"/>
  <c r="D21" i="2"/>
  <c r="F21" i="2"/>
  <c r="E21" i="2"/>
  <c r="G117" i="2"/>
  <c r="E10" i="2"/>
  <c r="E15" i="2" s="1"/>
  <c r="E16" i="2" s="1"/>
  <c r="E71" i="2" s="1"/>
  <c r="F8" i="2"/>
  <c r="F10" i="2" s="1"/>
  <c r="P7" i="2"/>
  <c r="P66" i="2"/>
  <c r="D155" i="2" s="1"/>
  <c r="H12" i="2"/>
  <c r="D15" i="2"/>
  <c r="D16" i="2" s="1"/>
  <c r="D34" i="2"/>
  <c r="F12" i="2"/>
  <c r="G8" i="2"/>
  <c r="G109" i="2"/>
  <c r="P51" i="2"/>
  <c r="D140" i="2" s="1"/>
  <c r="H117" i="2"/>
  <c r="I115" i="2"/>
  <c r="H8" i="2"/>
  <c r="P9" i="2"/>
  <c r="D108" i="2" s="1"/>
  <c r="P68" i="2" l="1"/>
  <c r="D157" i="2" s="1"/>
  <c r="D71" i="2"/>
  <c r="D79" i="2"/>
  <c r="L107" i="2"/>
  <c r="C122" i="2"/>
  <c r="D84" i="2"/>
  <c r="D85" i="2"/>
  <c r="D75" i="2"/>
  <c r="D80" i="2"/>
  <c r="D74" i="2"/>
  <c r="D73" i="2"/>
  <c r="D88" i="2"/>
  <c r="D87" i="2"/>
  <c r="E69" i="2"/>
  <c r="E85" i="2"/>
  <c r="E73" i="2"/>
  <c r="E88" i="2"/>
  <c r="E80" i="2"/>
  <c r="E75" i="2"/>
  <c r="E84" i="2"/>
  <c r="E87" i="2"/>
  <c r="E79" i="2"/>
  <c r="E74" i="2"/>
  <c r="F14" i="2"/>
  <c r="F34" i="2" s="1"/>
  <c r="F22" i="2"/>
  <c r="D26" i="2"/>
  <c r="D36" i="2"/>
  <c r="D35" i="2"/>
  <c r="D33" i="2"/>
  <c r="E35" i="2"/>
  <c r="E36" i="2"/>
  <c r="E38" i="2" s="1"/>
  <c r="E33" i="2"/>
  <c r="E26" i="2"/>
  <c r="H14" i="2"/>
  <c r="H34" i="2" s="1"/>
  <c r="H109" i="2"/>
  <c r="G10" i="2"/>
  <c r="G15" i="2" s="1"/>
  <c r="G22" i="2"/>
  <c r="J115" i="2"/>
  <c r="I117" i="2"/>
  <c r="D17" i="2"/>
  <c r="E17" i="2" s="1"/>
  <c r="I8" i="2"/>
  <c r="D38" i="2" l="1"/>
  <c r="E28" i="2"/>
  <c r="E20" i="2" s="1"/>
  <c r="M107" i="2"/>
  <c r="I12" i="2"/>
  <c r="I14" i="2" s="1"/>
  <c r="I34" i="2" s="1"/>
  <c r="F15" i="2"/>
  <c r="F16" i="2" s="1"/>
  <c r="F71" i="2" s="1"/>
  <c r="D69" i="2"/>
  <c r="G16" i="2"/>
  <c r="G71" i="2" s="1"/>
  <c r="E76" i="2"/>
  <c r="E91" i="2" s="1"/>
  <c r="J12" i="2"/>
  <c r="I109" i="2"/>
  <c r="E89" i="2"/>
  <c r="E81" i="2"/>
  <c r="D76" i="2"/>
  <c r="D81" i="2"/>
  <c r="D89" i="2"/>
  <c r="J8" i="2"/>
  <c r="H10" i="2"/>
  <c r="H22" i="2"/>
  <c r="K115" i="2"/>
  <c r="J117" i="2"/>
  <c r="D91" i="2" l="1"/>
  <c r="D93" i="2" s="1"/>
  <c r="E24" i="2"/>
  <c r="D39" i="2"/>
  <c r="E39" i="2"/>
  <c r="F35" i="2"/>
  <c r="F17" i="2"/>
  <c r="G17" i="2" s="1"/>
  <c r="F26" i="2"/>
  <c r="F33" i="2"/>
  <c r="F36" i="2"/>
  <c r="G69" i="2"/>
  <c r="G88" i="2"/>
  <c r="G80" i="2"/>
  <c r="G75" i="2"/>
  <c r="G84" i="2"/>
  <c r="G85" i="2"/>
  <c r="G73" i="2"/>
  <c r="G87" i="2"/>
  <c r="G79" i="2"/>
  <c r="G74" i="2"/>
  <c r="F69" i="2"/>
  <c r="F85" i="2"/>
  <c r="F73" i="2"/>
  <c r="F88" i="2"/>
  <c r="F80" i="2"/>
  <c r="F75" i="2"/>
  <c r="F84" i="2"/>
  <c r="F87" i="2"/>
  <c r="F79" i="2"/>
  <c r="F74" i="2"/>
  <c r="G36" i="2"/>
  <c r="G35" i="2"/>
  <c r="G33" i="2"/>
  <c r="H15" i="2"/>
  <c r="H16" i="2" s="1"/>
  <c r="H71" i="2" s="1"/>
  <c r="G26" i="2"/>
  <c r="K12" i="2"/>
  <c r="K14" i="2" s="1"/>
  <c r="K34" i="2" s="1"/>
  <c r="J14" i="2"/>
  <c r="J34" i="2" s="1"/>
  <c r="E93" i="2"/>
  <c r="J109" i="2"/>
  <c r="K117" i="2"/>
  <c r="L115" i="2"/>
  <c r="K8" i="2"/>
  <c r="I22" i="2"/>
  <c r="I10" i="2"/>
  <c r="G38" i="2" l="1"/>
  <c r="F38" i="2"/>
  <c r="E40" i="2"/>
  <c r="E94" i="2"/>
  <c r="D40" i="2"/>
  <c r="D94" i="2"/>
  <c r="G28" i="2"/>
  <c r="G20" i="2" s="1"/>
  <c r="F28" i="2"/>
  <c r="F20" i="2" s="1"/>
  <c r="F81" i="2"/>
  <c r="F89" i="2"/>
  <c r="F76" i="2"/>
  <c r="H69" i="2"/>
  <c r="H88" i="2"/>
  <c r="H80" i="2"/>
  <c r="H75" i="2"/>
  <c r="H84" i="2"/>
  <c r="H87" i="2"/>
  <c r="H79" i="2"/>
  <c r="H74" i="2"/>
  <c r="H85" i="2"/>
  <c r="H73" i="2"/>
  <c r="H36" i="2"/>
  <c r="H35" i="2"/>
  <c r="H33" i="2"/>
  <c r="I15" i="2"/>
  <c r="I16" i="2" s="1"/>
  <c r="H26" i="2"/>
  <c r="L12" i="2"/>
  <c r="L14" i="2" s="1"/>
  <c r="L34" i="2" s="1"/>
  <c r="G81" i="2"/>
  <c r="K109" i="2"/>
  <c r="G76" i="2"/>
  <c r="H17" i="2"/>
  <c r="G89" i="2"/>
  <c r="M115" i="2"/>
  <c r="L117" i="2"/>
  <c r="J22" i="2"/>
  <c r="J10" i="2"/>
  <c r="L8" i="2"/>
  <c r="I71" i="2" l="1"/>
  <c r="I37" i="2"/>
  <c r="H38" i="2"/>
  <c r="G91" i="2"/>
  <c r="G93" i="2" s="1"/>
  <c r="F91" i="2"/>
  <c r="F93" i="2" s="1"/>
  <c r="F24" i="2"/>
  <c r="G24" i="2"/>
  <c r="H28" i="2"/>
  <c r="H20" i="2" s="1"/>
  <c r="G39" i="2"/>
  <c r="F39" i="2"/>
  <c r="E95" i="2"/>
  <c r="D95" i="2"/>
  <c r="I69" i="2"/>
  <c r="I84" i="2"/>
  <c r="I80" i="2"/>
  <c r="I87" i="2"/>
  <c r="I79" i="2"/>
  <c r="I74" i="2"/>
  <c r="I85" i="2"/>
  <c r="I73" i="2"/>
  <c r="I75" i="2"/>
  <c r="I88" i="2"/>
  <c r="I36" i="2"/>
  <c r="I35" i="2"/>
  <c r="I33" i="2"/>
  <c r="J15" i="2"/>
  <c r="J16" i="2" s="1"/>
  <c r="I26" i="2"/>
  <c r="M12" i="2"/>
  <c r="M14" i="2" s="1"/>
  <c r="M34" i="2" s="1"/>
  <c r="L109" i="2"/>
  <c r="H81" i="2"/>
  <c r="K22" i="2"/>
  <c r="K10" i="2"/>
  <c r="H89" i="2"/>
  <c r="M8" i="2"/>
  <c r="I17" i="2"/>
  <c r="M117" i="2"/>
  <c r="H76" i="2"/>
  <c r="J71" i="2" l="1"/>
  <c r="J37" i="2"/>
  <c r="I38" i="2"/>
  <c r="F40" i="2"/>
  <c r="F94" i="2"/>
  <c r="F95" i="2" s="1"/>
  <c r="G40" i="2"/>
  <c r="G94" i="2"/>
  <c r="H91" i="2"/>
  <c r="H93" i="2" s="1"/>
  <c r="H24" i="2"/>
  <c r="H39" i="2"/>
  <c r="I28" i="2"/>
  <c r="I20" i="2" s="1"/>
  <c r="J69" i="2"/>
  <c r="J87" i="2"/>
  <c r="J79" i="2"/>
  <c r="J74" i="2"/>
  <c r="J84" i="2"/>
  <c r="J85" i="2"/>
  <c r="J73" i="2"/>
  <c r="J88" i="2"/>
  <c r="J80" i="2"/>
  <c r="J75" i="2"/>
  <c r="J35" i="2"/>
  <c r="J33" i="2"/>
  <c r="J36" i="2"/>
  <c r="J26" i="2"/>
  <c r="K15" i="2"/>
  <c r="K16" i="2" s="1"/>
  <c r="P11" i="2"/>
  <c r="N12" i="2"/>
  <c r="I81" i="2"/>
  <c r="I76" i="2"/>
  <c r="M109" i="2"/>
  <c r="J17" i="2"/>
  <c r="I89" i="2"/>
  <c r="L22" i="2"/>
  <c r="L10" i="2"/>
  <c r="N8" i="2"/>
  <c r="K71" i="2" l="1"/>
  <c r="K37" i="2"/>
  <c r="J38" i="2"/>
  <c r="I91" i="2"/>
  <c r="I93" i="2" s="1"/>
  <c r="H40" i="2"/>
  <c r="H94" i="2"/>
  <c r="I24" i="2"/>
  <c r="J28" i="2"/>
  <c r="J20" i="2" s="1"/>
  <c r="I39" i="2"/>
  <c r="G95" i="2"/>
  <c r="K69" i="2"/>
  <c r="K87" i="2"/>
  <c r="K79" i="2"/>
  <c r="K74" i="2"/>
  <c r="K85" i="2"/>
  <c r="K73" i="2"/>
  <c r="K88" i="2"/>
  <c r="K80" i="2"/>
  <c r="K75" i="2"/>
  <c r="K84" i="2"/>
  <c r="K35" i="2"/>
  <c r="K33" i="2"/>
  <c r="K36" i="2"/>
  <c r="K26" i="2"/>
  <c r="L15" i="2"/>
  <c r="L16" i="2" s="1"/>
  <c r="N14" i="2"/>
  <c r="N34" i="2" s="1"/>
  <c r="O12" i="2"/>
  <c r="O14" i="2" s="1"/>
  <c r="O34" i="2" s="1"/>
  <c r="J89" i="2"/>
  <c r="J76" i="2"/>
  <c r="J81" i="2"/>
  <c r="K17" i="2"/>
  <c r="M22" i="2"/>
  <c r="M10" i="2"/>
  <c r="O8" i="2"/>
  <c r="L71" i="2" l="1"/>
  <c r="L37" i="2"/>
  <c r="K38" i="2"/>
  <c r="I40" i="2"/>
  <c r="I94" i="2"/>
  <c r="J91" i="2"/>
  <c r="J93" i="2" s="1"/>
  <c r="J24" i="2"/>
  <c r="J39" i="2"/>
  <c r="K28" i="2"/>
  <c r="K24" i="2" s="1"/>
  <c r="H95" i="2"/>
  <c r="L69" i="2"/>
  <c r="L74" i="2"/>
  <c r="L85" i="2"/>
  <c r="L73" i="2"/>
  <c r="L88" i="2"/>
  <c r="L80" i="2"/>
  <c r="L75" i="2"/>
  <c r="L79" i="2"/>
  <c r="L84" i="2"/>
  <c r="L87" i="2"/>
  <c r="L35" i="2"/>
  <c r="L33" i="2"/>
  <c r="L36" i="2"/>
  <c r="L26" i="2"/>
  <c r="M15" i="2"/>
  <c r="M16" i="2" s="1"/>
  <c r="P12" i="2"/>
  <c r="D111" i="2" s="1"/>
  <c r="P14" i="2"/>
  <c r="L17" i="2"/>
  <c r="K81" i="2"/>
  <c r="N22" i="2"/>
  <c r="N10" i="2"/>
  <c r="K76" i="2"/>
  <c r="K89" i="2"/>
  <c r="L38" i="2" l="1"/>
  <c r="M71" i="2"/>
  <c r="M37" i="2"/>
  <c r="K91" i="2"/>
  <c r="J40" i="2"/>
  <c r="J94" i="2"/>
  <c r="P34" i="2"/>
  <c r="D127" i="2" s="1"/>
  <c r="D113" i="2"/>
  <c r="K20" i="2"/>
  <c r="L28" i="2"/>
  <c r="L20" i="2" s="1"/>
  <c r="K39" i="2"/>
  <c r="I95" i="2"/>
  <c r="E111" i="2"/>
  <c r="E121" i="2" s="1"/>
  <c r="F110" i="2"/>
  <c r="M69" i="2"/>
  <c r="M85" i="2"/>
  <c r="M73" i="2"/>
  <c r="M88" i="2"/>
  <c r="M80" i="2"/>
  <c r="M75" i="2"/>
  <c r="M84" i="2"/>
  <c r="M87" i="2"/>
  <c r="M79" i="2"/>
  <c r="M74" i="2"/>
  <c r="M36" i="2"/>
  <c r="M35" i="2"/>
  <c r="M33" i="2"/>
  <c r="M26" i="2"/>
  <c r="N15" i="2"/>
  <c r="N16" i="2" s="1"/>
  <c r="L81" i="2"/>
  <c r="L89" i="2"/>
  <c r="M17" i="2"/>
  <c r="O10" i="2"/>
  <c r="O22" i="2"/>
  <c r="P8" i="2"/>
  <c r="D107" i="2" s="1"/>
  <c r="L76" i="2"/>
  <c r="N71" i="2" l="1"/>
  <c r="N37" i="2"/>
  <c r="M38" i="2"/>
  <c r="K40" i="2"/>
  <c r="K94" i="2"/>
  <c r="K95" i="2" s="1"/>
  <c r="L91" i="2"/>
  <c r="L24" i="2"/>
  <c r="M28" i="2"/>
  <c r="M20" i="2" s="1"/>
  <c r="L39" i="2"/>
  <c r="J95" i="2"/>
  <c r="E113" i="2"/>
  <c r="G110" i="2"/>
  <c r="F111" i="2"/>
  <c r="N69" i="2"/>
  <c r="N85" i="2"/>
  <c r="N73" i="2"/>
  <c r="N88" i="2"/>
  <c r="N80" i="2"/>
  <c r="N75" i="2"/>
  <c r="N84" i="2"/>
  <c r="N87" i="2"/>
  <c r="N79" i="2"/>
  <c r="N74" i="2"/>
  <c r="N33" i="2"/>
  <c r="N36" i="2"/>
  <c r="N35" i="2"/>
  <c r="O15" i="2"/>
  <c r="O16" i="2" s="1"/>
  <c r="N26" i="2"/>
  <c r="K93" i="2"/>
  <c r="M76" i="2"/>
  <c r="L93" i="2"/>
  <c r="P10" i="2"/>
  <c r="M81" i="2"/>
  <c r="P22" i="2"/>
  <c r="D121" i="2" s="1"/>
  <c r="N17" i="2"/>
  <c r="M89" i="2"/>
  <c r="O71" i="2" l="1"/>
  <c r="O37" i="2"/>
  <c r="P37" i="2" s="1"/>
  <c r="N38" i="2"/>
  <c r="L40" i="2"/>
  <c r="L94" i="2"/>
  <c r="M91" i="2"/>
  <c r="P15" i="2"/>
  <c r="D118" i="2" s="1"/>
  <c r="D109" i="2"/>
  <c r="M24" i="2"/>
  <c r="E126" i="2"/>
  <c r="E118" i="2"/>
  <c r="E119" i="2" s="1"/>
  <c r="M39" i="2"/>
  <c r="N28" i="2"/>
  <c r="N20" i="2" s="1"/>
  <c r="F113" i="2"/>
  <c r="F121" i="2"/>
  <c r="E127" i="2"/>
  <c r="H110" i="2"/>
  <c r="G111" i="2"/>
  <c r="O69" i="2"/>
  <c r="O88" i="2"/>
  <c r="P88" i="2" s="1"/>
  <c r="D175" i="2" s="1"/>
  <c r="O80" i="2"/>
  <c r="P80" i="2" s="1"/>
  <c r="D167" i="2" s="1"/>
  <c r="O75" i="2"/>
  <c r="P75" i="2" s="1"/>
  <c r="D162" i="2" s="1"/>
  <c r="O73" i="2"/>
  <c r="O84" i="2"/>
  <c r="O87" i="2"/>
  <c r="P87" i="2" s="1"/>
  <c r="D174" i="2" s="1"/>
  <c r="O79" i="2"/>
  <c r="P79" i="2" s="1"/>
  <c r="D166" i="2" s="1"/>
  <c r="O74" i="2"/>
  <c r="P74" i="2" s="1"/>
  <c r="D161" i="2" s="1"/>
  <c r="O85" i="2"/>
  <c r="P85" i="2" s="1"/>
  <c r="D172" i="2" s="1"/>
  <c r="O36" i="2"/>
  <c r="O35" i="2"/>
  <c r="O33" i="2"/>
  <c r="O26" i="2"/>
  <c r="N89" i="2"/>
  <c r="O17" i="2"/>
  <c r="P16" i="2"/>
  <c r="D119" i="2" s="1"/>
  <c r="D123" i="2" s="1"/>
  <c r="N76" i="2"/>
  <c r="N81" i="2"/>
  <c r="O38" i="2" l="1"/>
  <c r="N91" i="2"/>
  <c r="N93" i="2" s="1"/>
  <c r="M40" i="2"/>
  <c r="M94" i="2"/>
  <c r="P69" i="2"/>
  <c r="P71" i="2"/>
  <c r="N24" i="2"/>
  <c r="F126" i="2"/>
  <c r="F118" i="2"/>
  <c r="F119" i="2" s="1"/>
  <c r="O28" i="2"/>
  <c r="O24" i="2" s="1"/>
  <c r="N39" i="2"/>
  <c r="E161" i="2"/>
  <c r="E162" i="2"/>
  <c r="D124" i="2"/>
  <c r="D122" i="2" s="1"/>
  <c r="E171" i="2"/>
  <c r="E175" i="2"/>
  <c r="E174" i="2"/>
  <c r="E172" i="2"/>
  <c r="F127" i="2"/>
  <c r="G113" i="2"/>
  <c r="G121" i="2"/>
  <c r="E123" i="2"/>
  <c r="E166" i="2"/>
  <c r="E128" i="2"/>
  <c r="E160" i="2"/>
  <c r="E167" i="2"/>
  <c r="E129" i="2"/>
  <c r="L95" i="2"/>
  <c r="I110" i="2"/>
  <c r="H111" i="2"/>
  <c r="P36" i="2"/>
  <c r="P35" i="2"/>
  <c r="D128" i="2" s="1"/>
  <c r="P33" i="2"/>
  <c r="D126" i="2" s="1"/>
  <c r="P26" i="2"/>
  <c r="M93" i="2"/>
  <c r="O81" i="2"/>
  <c r="O76" i="2"/>
  <c r="P73" i="2"/>
  <c r="D160" i="2" s="1"/>
  <c r="O89" i="2"/>
  <c r="P84" i="2"/>
  <c r="D171" i="2" s="1"/>
  <c r="D129" i="2" l="1"/>
  <c r="D130" i="2" s="1"/>
  <c r="P38" i="2"/>
  <c r="O91" i="2"/>
  <c r="O93" i="2" s="1"/>
  <c r="N40" i="2"/>
  <c r="N94" i="2"/>
  <c r="D168" i="2"/>
  <c r="D176" i="2"/>
  <c r="D163" i="2"/>
  <c r="O20" i="2"/>
  <c r="M95" i="2"/>
  <c r="G126" i="2"/>
  <c r="G118" i="2"/>
  <c r="G119" i="2" s="1"/>
  <c r="O39" i="2"/>
  <c r="F161" i="2"/>
  <c r="F162" i="2"/>
  <c r="E158" i="2"/>
  <c r="E130" i="2"/>
  <c r="F174" i="2"/>
  <c r="F171" i="2"/>
  <c r="F172" i="2"/>
  <c r="F175" i="2"/>
  <c r="E176" i="2"/>
  <c r="E124" i="2"/>
  <c r="G127" i="2"/>
  <c r="F166" i="2"/>
  <c r="F128" i="2"/>
  <c r="F160" i="2"/>
  <c r="F167" i="2"/>
  <c r="F129" i="2"/>
  <c r="F123" i="2"/>
  <c r="E163" i="2"/>
  <c r="H113" i="2"/>
  <c r="H121" i="2"/>
  <c r="E168" i="2"/>
  <c r="J110" i="2"/>
  <c r="I111" i="2"/>
  <c r="P28" i="2"/>
  <c r="P76" i="2"/>
  <c r="P81" i="2"/>
  <c r="D158" i="2"/>
  <c r="P89" i="2"/>
  <c r="O40" i="2" l="1"/>
  <c r="O94" i="2"/>
  <c r="P91" i="2"/>
  <c r="P93" i="2" s="1"/>
  <c r="D177" i="2"/>
  <c r="D178" i="2" s="1"/>
  <c r="E177" i="2"/>
  <c r="E178" i="2" s="1"/>
  <c r="H126" i="2"/>
  <c r="H118" i="2"/>
  <c r="H119" i="2" s="1"/>
  <c r="P39" i="2"/>
  <c r="E131" i="2"/>
  <c r="F124" i="2"/>
  <c r="F122" i="2" s="1"/>
  <c r="G161" i="2"/>
  <c r="G162" i="2"/>
  <c r="E120" i="2"/>
  <c r="F158" i="2"/>
  <c r="D131" i="2"/>
  <c r="D132" i="2" s="1"/>
  <c r="F168" i="2"/>
  <c r="G174" i="2"/>
  <c r="G172" i="2"/>
  <c r="G175" i="2"/>
  <c r="G171" i="2"/>
  <c r="F176" i="2"/>
  <c r="F130" i="2"/>
  <c r="F163" i="2"/>
  <c r="H127" i="2"/>
  <c r="I113" i="2"/>
  <c r="I121" i="2"/>
  <c r="E122" i="2"/>
  <c r="G166" i="2"/>
  <c r="G128" i="2"/>
  <c r="G160" i="2"/>
  <c r="G167" i="2"/>
  <c r="G129" i="2"/>
  <c r="G123" i="2"/>
  <c r="N95" i="2"/>
  <c r="K110" i="2"/>
  <c r="J111" i="2"/>
  <c r="P24" i="2"/>
  <c r="P20" i="2"/>
  <c r="P40" i="2" l="1"/>
  <c r="P94" i="2"/>
  <c r="F177" i="2"/>
  <c r="F178" i="2" s="1"/>
  <c r="E132" i="2"/>
  <c r="E179" i="2"/>
  <c r="D179" i="2"/>
  <c r="I126" i="2"/>
  <c r="I118" i="2"/>
  <c r="I119" i="2" s="1"/>
  <c r="H162" i="2"/>
  <c r="H161" i="2"/>
  <c r="F120" i="2"/>
  <c r="G124" i="2"/>
  <c r="G120" i="2" s="1"/>
  <c r="F131" i="2"/>
  <c r="G158" i="2"/>
  <c r="G168" i="2"/>
  <c r="H172" i="2"/>
  <c r="H175" i="2"/>
  <c r="H171" i="2"/>
  <c r="H174" i="2"/>
  <c r="G176" i="2"/>
  <c r="G130" i="2"/>
  <c r="D120" i="2"/>
  <c r="I127" i="2"/>
  <c r="J113" i="2"/>
  <c r="J121" i="2"/>
  <c r="G163" i="2"/>
  <c r="H160" i="2"/>
  <c r="H167" i="2"/>
  <c r="H129" i="2"/>
  <c r="H123" i="2"/>
  <c r="H166" i="2"/>
  <c r="H128" i="2"/>
  <c r="O95" i="2"/>
  <c r="L110" i="2"/>
  <c r="K111" i="2"/>
  <c r="G177" i="2" l="1"/>
  <c r="G178" i="2" s="1"/>
  <c r="F132" i="2"/>
  <c r="F179" i="2"/>
  <c r="F180" i="2" s="1"/>
  <c r="J126" i="2"/>
  <c r="J118" i="2"/>
  <c r="J119" i="2" s="1"/>
  <c r="G131" i="2"/>
  <c r="G122" i="2"/>
  <c r="H124" i="2"/>
  <c r="H120" i="2" s="1"/>
  <c r="I162" i="2"/>
  <c r="I161" i="2"/>
  <c r="H168" i="2"/>
  <c r="H130" i="2"/>
  <c r="H176" i="2"/>
  <c r="I171" i="2"/>
  <c r="I172" i="2"/>
  <c r="I175" i="2"/>
  <c r="I174" i="2"/>
  <c r="H158" i="2"/>
  <c r="J127" i="2"/>
  <c r="K113" i="2"/>
  <c r="K121" i="2"/>
  <c r="I160" i="2"/>
  <c r="I167" i="2"/>
  <c r="I129" i="2"/>
  <c r="I123" i="2"/>
  <c r="I166" i="2"/>
  <c r="I128" i="2"/>
  <c r="H163" i="2"/>
  <c r="M110" i="2"/>
  <c r="L111" i="2"/>
  <c r="P95" i="2"/>
  <c r="H177" i="2" l="1"/>
  <c r="H178" i="2" s="1"/>
  <c r="G132" i="2"/>
  <c r="G179" i="2"/>
  <c r="K126" i="2"/>
  <c r="K118" i="2"/>
  <c r="K119" i="2" s="1"/>
  <c r="H122" i="2"/>
  <c r="I124" i="2"/>
  <c r="I122" i="2" s="1"/>
  <c r="J162" i="2"/>
  <c r="J161" i="2"/>
  <c r="H131" i="2"/>
  <c r="I130" i="2"/>
  <c r="J172" i="2"/>
  <c r="J175" i="2"/>
  <c r="J171" i="2"/>
  <c r="J174" i="2"/>
  <c r="I158" i="2"/>
  <c r="I176" i="2"/>
  <c r="L113" i="2"/>
  <c r="L121" i="2"/>
  <c r="I163" i="2"/>
  <c r="I168" i="2"/>
  <c r="K127" i="2"/>
  <c r="J167" i="2"/>
  <c r="J129" i="2"/>
  <c r="J123" i="2"/>
  <c r="J166" i="2"/>
  <c r="J128" i="2"/>
  <c r="J160" i="2"/>
  <c r="M111" i="2"/>
  <c r="D180" i="2"/>
  <c r="I177" i="2" l="1"/>
  <c r="I178" i="2" s="1"/>
  <c r="H132" i="2"/>
  <c r="H179" i="2"/>
  <c r="L126" i="2"/>
  <c r="L118" i="2"/>
  <c r="L119" i="2" s="1"/>
  <c r="K162" i="2"/>
  <c r="K161" i="2"/>
  <c r="J124" i="2"/>
  <c r="I120" i="2"/>
  <c r="J158" i="2"/>
  <c r="I131" i="2"/>
  <c r="G180" i="2"/>
  <c r="J176" i="2"/>
  <c r="J130" i="2"/>
  <c r="J168" i="2"/>
  <c r="K172" i="2"/>
  <c r="K175" i="2"/>
  <c r="K171" i="2"/>
  <c r="K174" i="2"/>
  <c r="K167" i="2"/>
  <c r="K129" i="2"/>
  <c r="K123" i="2"/>
  <c r="K166" i="2"/>
  <c r="K128" i="2"/>
  <c r="K160" i="2"/>
  <c r="J163" i="2"/>
  <c r="M113" i="2"/>
  <c r="M121" i="2"/>
  <c r="L127" i="2"/>
  <c r="I132" i="2" l="1"/>
  <c r="I179" i="2"/>
  <c r="J177" i="2"/>
  <c r="J178" i="2" s="1"/>
  <c r="K158" i="2"/>
  <c r="M126" i="2"/>
  <c r="M118" i="2"/>
  <c r="M119" i="2" s="1"/>
  <c r="J120" i="2"/>
  <c r="K124" i="2"/>
  <c r="K122" i="2" s="1"/>
  <c r="J131" i="2"/>
  <c r="L162" i="2"/>
  <c r="L161" i="2"/>
  <c r="J122" i="2"/>
  <c r="K130" i="2"/>
  <c r="H180" i="2"/>
  <c r="K176" i="2"/>
  <c r="L175" i="2"/>
  <c r="L171" i="2"/>
  <c r="L174" i="2"/>
  <c r="L172" i="2"/>
  <c r="K163" i="2"/>
  <c r="K168" i="2"/>
  <c r="L167" i="2"/>
  <c r="L129" i="2"/>
  <c r="L123" i="2"/>
  <c r="L166" i="2"/>
  <c r="L128" i="2"/>
  <c r="L160" i="2"/>
  <c r="M127" i="2"/>
  <c r="K177" i="2" l="1"/>
  <c r="J132" i="2"/>
  <c r="J179" i="2"/>
  <c r="L124" i="2"/>
  <c r="L122" i="2" s="1"/>
  <c r="K120" i="2"/>
  <c r="K131" i="2"/>
  <c r="M161" i="2"/>
  <c r="M162" i="2"/>
  <c r="I180" i="2"/>
  <c r="L176" i="2"/>
  <c r="M171" i="2"/>
  <c r="M174" i="2"/>
  <c r="M175" i="2"/>
  <c r="M172" i="2"/>
  <c r="L130" i="2"/>
  <c r="L168" i="2"/>
  <c r="L158" i="2"/>
  <c r="M166" i="2"/>
  <c r="M128" i="2"/>
  <c r="M123" i="2"/>
  <c r="M129" i="2"/>
  <c r="M160" i="2"/>
  <c r="M167" i="2"/>
  <c r="L163" i="2"/>
  <c r="L177" i="2" l="1"/>
  <c r="L178" i="2" s="1"/>
  <c r="K132" i="2"/>
  <c r="K179" i="2"/>
  <c r="M158" i="2"/>
  <c r="L131" i="2"/>
  <c r="M124" i="2"/>
  <c r="L120" i="2"/>
  <c r="J180" i="2"/>
  <c r="M130" i="2"/>
  <c r="M168" i="2"/>
  <c r="M176" i="2"/>
  <c r="K178" i="2"/>
  <c r="M163" i="2"/>
  <c r="M177" i="2" l="1"/>
  <c r="M178" i="2" s="1"/>
  <c r="L132" i="2"/>
  <c r="L179" i="2"/>
  <c r="M120" i="2"/>
  <c r="M122" i="2"/>
  <c r="M131" i="2"/>
  <c r="K180" i="2"/>
  <c r="M132" i="2" l="1"/>
  <c r="M179" i="2"/>
  <c r="L180" i="2"/>
  <c r="M180" i="2" l="1"/>
  <c r="D28" i="2" l="1"/>
  <c r="D29" i="2" s="1"/>
  <c r="E29" i="2" s="1"/>
  <c r="F29" i="2" s="1"/>
  <c r="G29" i="2" s="1"/>
  <c r="H29" i="2" s="1"/>
  <c r="I29" i="2" s="1"/>
  <c r="J29" i="2" s="1"/>
  <c r="K29" i="2" s="1"/>
  <c r="L29" i="2" s="1"/>
  <c r="M29" i="2" s="1"/>
  <c r="N29" i="2" s="1"/>
  <c r="O29" i="2" s="1"/>
  <c r="D24" i="2" l="1"/>
  <c r="D20" i="2"/>
  <c r="E180" i="2" l="1"/>
</calcChain>
</file>

<file path=xl/sharedStrings.xml><?xml version="1.0" encoding="utf-8"?>
<sst xmlns="http://schemas.openxmlformats.org/spreadsheetml/2006/main" count="179" uniqueCount="112">
  <si>
    <t>Total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</si>
  <si>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</si>
  <si>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</si>
  <si>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</si>
  <si>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</si>
  <si>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</si>
  <si>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</si>
  <si>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</si>
  <si>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</si>
  <si>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</si>
  <si>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</si>
  <si>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</si>
  <si>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Red Ruby Petitenget</t>
  </si>
  <si>
    <t>Gross Income IDR</t>
  </si>
  <si>
    <t>Number of Guests - Club per night</t>
  </si>
  <si>
    <t>Number of Guests - Club per month</t>
  </si>
  <si>
    <t>Target Spend</t>
  </si>
  <si>
    <t>Target Revenue</t>
  </si>
  <si>
    <t>Net Income pre Tax/Service</t>
  </si>
  <si>
    <t>Average Net Income per Club Day</t>
  </si>
  <si>
    <t>Total Guests per month</t>
  </si>
  <si>
    <t>Actual Guests per month</t>
  </si>
  <si>
    <t>Spend per Guest</t>
  </si>
  <si>
    <t>Taxes and Service Charge Provision</t>
  </si>
  <si>
    <t>Total Income IDR</t>
  </si>
  <si>
    <t>Less Direct Costs</t>
  </si>
  <si>
    <t>Purchases Beverage</t>
  </si>
  <si>
    <t>Purchases Food &amp; Other</t>
  </si>
  <si>
    <t>Promoter/Influencer Costs</t>
  </si>
  <si>
    <t>Total Direct Costs</t>
  </si>
  <si>
    <t>Gross Profit</t>
  </si>
  <si>
    <t>Gross Profit Margin</t>
  </si>
  <si>
    <t>Overhead Expenses</t>
  </si>
  <si>
    <t>Salary &amp; Wages Package</t>
  </si>
  <si>
    <t>Staff Wages - Admin, Cashier &amp; Merc</t>
  </si>
  <si>
    <t>Staff Wages - Bar Staff</t>
  </si>
  <si>
    <t>Staff Wages - Host/Floor/Waiter</t>
  </si>
  <si>
    <t>Staff Wages - Marketing &amp; GRO</t>
  </si>
  <si>
    <t>Staff Wages - Kitchen</t>
  </si>
  <si>
    <t>Staff Wages - Security &amp; Valet</t>
  </si>
  <si>
    <t>Staff Wages - Store/Cleaning &amp; Other</t>
  </si>
  <si>
    <t>Staff Wages - Daily/Contract Worker</t>
  </si>
  <si>
    <t>Total Staff - Full Time</t>
  </si>
  <si>
    <t>Advertising &amp; Promotion</t>
  </si>
  <si>
    <t>Marketing Material/Printing etc</t>
  </si>
  <si>
    <t>Rental Equipment etc</t>
  </si>
  <si>
    <t>Overhead &amp; General Expenses</t>
  </si>
  <si>
    <t>Admin/Management Fees</t>
  </si>
  <si>
    <t>Bank &amp; Card Fees/Interest</t>
  </si>
  <si>
    <t>Sundry Overhead &amp; Costs</t>
  </si>
  <si>
    <t>EBITDA</t>
  </si>
  <si>
    <t>EBITDA Margin</t>
  </si>
  <si>
    <t>Net Income IDR - before Taxes/Service</t>
  </si>
  <si>
    <t>Total Guests</t>
  </si>
  <si>
    <t>Taxes and Service Charge</t>
  </si>
  <si>
    <t>Salary &amp; Wages</t>
  </si>
  <si>
    <t>Average Net Income per Day</t>
  </si>
  <si>
    <t>Staff Wages - Management - Number</t>
  </si>
  <si>
    <t>Staff Wages - Management - Amount</t>
  </si>
  <si>
    <t>Sales &amp; Marketing Costs</t>
  </si>
  <si>
    <t xml:space="preserve">Travel &amp; Accmodation Costs </t>
  </si>
  <si>
    <t>Repairs &amp; Maintenance</t>
  </si>
  <si>
    <t>Rents &amp; Leases</t>
  </si>
  <si>
    <t>Communication Costs</t>
  </si>
  <si>
    <t>Electric &amp; Gas</t>
  </si>
  <si>
    <t>PT Taman Bintang Bali</t>
  </si>
  <si>
    <t>Red Ruby Club &amp; Terrace Bar</t>
  </si>
  <si>
    <t>Number  Guests - Club per annum</t>
  </si>
  <si>
    <t>Red Ruby Profit &amp; Loss Budgets &amp; Projections</t>
  </si>
  <si>
    <t>Gross Income</t>
  </si>
  <si>
    <t>Total Actual Income IDR</t>
  </si>
  <si>
    <t>Total Target Income IDR</t>
  </si>
  <si>
    <t>Spend per Guest plus tax &amp; service</t>
  </si>
  <si>
    <t>ok</t>
  </si>
  <si>
    <t>Accounting Fees</t>
  </si>
  <si>
    <t>Profit &amp; Loss Projections 2026</t>
  </si>
  <si>
    <t>Discounts/FOC/Cash Back</t>
  </si>
  <si>
    <t>Membership Levels</t>
  </si>
  <si>
    <t>Green</t>
  </si>
  <si>
    <t>Gold</t>
  </si>
  <si>
    <t>Platinum</t>
  </si>
  <si>
    <t>Black/VVIP</t>
  </si>
  <si>
    <t>StarXP</t>
  </si>
  <si>
    <t>USD</t>
  </si>
  <si>
    <t>IDR</t>
  </si>
  <si>
    <t>Percentage</t>
  </si>
  <si>
    <t xml:space="preserve">StarWORLD Membership - Red Ruby </t>
  </si>
  <si>
    <t>Average</t>
  </si>
  <si>
    <t>Other</t>
  </si>
  <si>
    <t>Profit &amp; Loss 2026 to 2035</t>
  </si>
  <si>
    <t>Total Members</t>
  </si>
  <si>
    <t>Blue (Initially higher/upselling to Green)</t>
  </si>
  <si>
    <t>Numberf Guests - Club per night</t>
  </si>
  <si>
    <t>Number Guests - Terrace 24 hours</t>
  </si>
  <si>
    <t>Legal/Permits/Ceremony/Banjar etc</t>
  </si>
  <si>
    <t>Net Accumulative pre Tax/Service</t>
  </si>
  <si>
    <t>Net Ticket Costs/Entertainment</t>
  </si>
  <si>
    <t>Staff Travel/Meal/Medical/etc</t>
  </si>
  <si>
    <t>Property Rents, R &amp; M</t>
  </si>
  <si>
    <t>Number of Guests - Terrace 24 hours</t>
  </si>
  <si>
    <t>Actual Spend plus tax &amp; service</t>
  </si>
  <si>
    <t>No. Guests - Sky Lounge/Private Rooms</t>
  </si>
  <si>
    <t>N0. Guests - Sky Lounge/Private Rooms</t>
  </si>
  <si>
    <t>Loyalty program discounts/foc</t>
  </si>
  <si>
    <t>Staff Wages - Management</t>
  </si>
  <si>
    <t>Staff Wages - Supervisor</t>
  </si>
  <si>
    <t>Staff Wages - Supervisor - Number</t>
  </si>
  <si>
    <t>Staff Wages - Supervisor - Amount</t>
  </si>
  <si>
    <t>Total Expenses</t>
  </si>
  <si>
    <t>Total  Salary &amp; Wage Costs</t>
  </si>
  <si>
    <t>Total Salary &amp; Wages Costs</t>
  </si>
  <si>
    <t>Other 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</si>
</sst>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p&quot;* #,##0.00_-;\-&quot;Rp&quot;* #,##0.00_-;_-&quot;Rp&quot;* &quot;-&quot;??_-;_-@_-"/>
    <numFmt numFmtId="164" formatCode="[$$-C09]#,##0.00"/>
    <numFmt numFmtId="165" formatCode="[$$-C09]#,##0"/>
  </numFmts>
  <fonts count="12">
    <font>
      <sz val="10"/>
      <color indexed="8"/>
      <name val="Helvetica Neue"/>
    </font>
    <font>
      <sz val="10"/>
      <name val="Arial"/>
      <family val="2"/>
    </font>
    <font>
      <sz val="10"/>
      <color indexed="8"/>
      <name val="Helvetica Neue"/>
    </font>
    <font>
      <sz val="12"/>
      <color indexed="8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sz val="12"/>
      <color rgb="FF000000"/>
      <name val="Calibri"/>
      <family val="2"/>
    </font>
    <font>
      <b/>
      <sz val="12"/>
      <color rgb="FF00B05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b/>
      <u/>
      <sz val="12"/>
      <name val="Calibri"/>
      <family val="2"/>
    </font>
    <font>
      <u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A5A5A5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rgb="FF3F3F3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44" fontId="2" fillId="0" borderId="0" applyFont="0" applyFill="0" applyBorder="0" applyAlignment="0" applyProtection="0"/>
  </cellStyleXfs>
  <cellXfs count="199">
    <xf numFmtId="0" fontId="0" fillId="0" borderId="0" xfId="0">
      <alignment vertical="top" wrapText="1"/>
    </xf>
    <xf numFmtId="0" fontId="1" fillId="0" borderId="0" xfId="0" applyFont="1" applyAlignment="1"/>
    <xf numFmtId="0" fontId="1" fillId="0" borderId="2" xfId="0" applyFont="1" applyBorder="1" applyAlignment="1"/>
    <xf numFmtId="0" fontId="0" fillId="0" borderId="0" xfId="0" applyAlignment="1"/>
    <xf numFmtId="0" fontId="0" fillId="0" borderId="2" xfId="0" applyBorder="1" applyAlignment="1"/>
    <xf numFmtId="0" fontId="4" fillId="0" borderId="0" xfId="0" applyFont="1" applyAlignment="1"/>
    <xf numFmtId="0" fontId="5" fillId="0" borderId="0" xfId="0" applyFont="1" applyAlignment="1"/>
    <xf numFmtId="0" fontId="3" fillId="0" borderId="0" xfId="0" applyNumberFormat="1" applyFont="1">
      <alignment vertical="top" wrapText="1"/>
    </xf>
    <xf numFmtId="0" fontId="5" fillId="0" borderId="0" xfId="0" applyFont="1" applyAlignment="1">
      <alignment horizontal="center"/>
    </xf>
    <xf numFmtId="0" fontId="5" fillId="2" borderId="10" xfId="0" applyFont="1" applyFill="1" applyBorder="1" applyAlignment="1"/>
    <xf numFmtId="0" fontId="5" fillId="2" borderId="10" xfId="0" applyFont="1" applyFill="1" applyBorder="1" applyAlignment="1">
      <alignment horizontal="center"/>
    </xf>
    <xf numFmtId="17" fontId="5" fillId="2" borderId="10" xfId="0" applyNumberFormat="1" applyFont="1" applyFill="1" applyBorder="1" applyAlignment="1">
      <alignment horizontal="center"/>
    </xf>
    <xf numFmtId="17" fontId="5" fillId="2" borderId="1" xfId="0" applyNumberFormat="1" applyFont="1" applyFill="1" applyBorder="1" applyAlignment="1">
      <alignment horizontal="center"/>
    </xf>
    <xf numFmtId="3" fontId="4" fillId="0" borderId="0" xfId="0" applyNumberFormat="1" applyFont="1" applyAlignment="1">
      <alignment horizontal="center"/>
    </xf>
    <xf numFmtId="0" fontId="3" fillId="0" borderId="0" xfId="0" applyFont="1" applyAlignment="1"/>
    <xf numFmtId="3" fontId="4" fillId="0" borderId="16" xfId="0" applyNumberFormat="1" applyFont="1" applyBorder="1" applyAlignment="1">
      <alignment horizontal="center"/>
    </xf>
    <xf numFmtId="3" fontId="4" fillId="0" borderId="2" xfId="0" applyNumberFormat="1" applyFont="1" applyBorder="1" applyAlignment="1">
      <alignment horizontal="center"/>
    </xf>
    <xf numFmtId="0" fontId="6" fillId="2" borderId="5" xfId="0" applyFont="1" applyFill="1" applyBorder="1" applyAlignment="1"/>
    <xf numFmtId="0" fontId="6" fillId="2" borderId="11" xfId="0" applyFont="1" applyFill="1" applyBorder="1" applyAlignment="1"/>
    <xf numFmtId="44" fontId="6" fillId="2" borderId="17" xfId="1" applyFont="1" applyFill="1" applyBorder="1" applyAlignment="1"/>
    <xf numFmtId="0" fontId="5" fillId="3" borderId="19" xfId="0" applyFont="1" applyFill="1" applyBorder="1" applyAlignment="1"/>
    <xf numFmtId="3" fontId="5" fillId="2" borderId="3" xfId="0" applyNumberFormat="1" applyFont="1" applyFill="1" applyBorder="1" applyAlignment="1">
      <alignment horizontal="center"/>
    </xf>
    <xf numFmtId="0" fontId="5" fillId="3" borderId="5" xfId="0" applyFont="1" applyFill="1" applyBorder="1" applyAlignment="1"/>
    <xf numFmtId="3" fontId="5" fillId="2" borderId="5" xfId="0" applyNumberFormat="1" applyFont="1" applyFill="1" applyBorder="1" applyAlignment="1">
      <alignment horizontal="center"/>
    </xf>
    <xf numFmtId="0" fontId="7" fillId="3" borderId="5" xfId="0" applyFont="1" applyFill="1" applyBorder="1" applyAlignment="1"/>
    <xf numFmtId="3" fontId="5" fillId="2" borderId="13" xfId="0" applyNumberFormat="1" applyFont="1" applyFill="1" applyBorder="1" applyAlignment="1">
      <alignment horizontal="center"/>
    </xf>
    <xf numFmtId="10" fontId="5" fillId="2" borderId="10" xfId="0" applyNumberFormat="1" applyFont="1" applyFill="1" applyBorder="1" applyAlignment="1">
      <alignment horizontal="center"/>
    </xf>
    <xf numFmtId="0" fontId="5" fillId="3" borderId="4" xfId="0" applyFont="1" applyFill="1" applyBorder="1" applyAlignment="1"/>
    <xf numFmtId="3" fontId="5" fillId="2" borderId="18" xfId="0" applyNumberFormat="1" applyFont="1" applyFill="1" applyBorder="1" applyAlignment="1">
      <alignment horizontal="center"/>
    </xf>
    <xf numFmtId="3" fontId="5" fillId="2" borderId="6" xfId="0" applyNumberFormat="1" applyFont="1" applyFill="1" applyBorder="1" applyAlignment="1">
      <alignment horizontal="center"/>
    </xf>
    <xf numFmtId="3" fontId="5" fillId="2" borderId="4" xfId="0" applyNumberFormat="1" applyFont="1" applyFill="1" applyBorder="1" applyAlignment="1">
      <alignment horizontal="center"/>
    </xf>
    <xf numFmtId="44" fontId="8" fillId="2" borderId="20" xfId="1" applyFont="1" applyFill="1" applyBorder="1" applyAlignment="1"/>
    <xf numFmtId="10" fontId="4" fillId="0" borderId="11" xfId="0" applyNumberFormat="1" applyFont="1" applyBorder="1" applyAlignment="1">
      <alignment horizontal="center"/>
    </xf>
    <xf numFmtId="44" fontId="6" fillId="2" borderId="20" xfId="1" applyFont="1" applyFill="1" applyBorder="1" applyAlignment="1"/>
    <xf numFmtId="3" fontId="4" fillId="0" borderId="11" xfId="0" applyNumberFormat="1" applyFont="1" applyBorder="1" applyAlignment="1">
      <alignment horizontal="center"/>
    </xf>
    <xf numFmtId="44" fontId="6" fillId="2" borderId="21" xfId="1" applyFont="1" applyFill="1" applyBorder="1" applyAlignment="1"/>
    <xf numFmtId="44" fontId="5" fillId="2" borderId="4" xfId="1" applyFont="1" applyFill="1" applyBorder="1" applyAlignment="1">
      <alignment horizontal="left"/>
    </xf>
    <xf numFmtId="3" fontId="5" fillId="0" borderId="6" xfId="0" applyNumberFormat="1" applyFont="1" applyBorder="1" applyAlignment="1">
      <alignment horizontal="center"/>
    </xf>
    <xf numFmtId="3" fontId="5" fillId="0" borderId="4" xfId="0" applyNumberFormat="1" applyFont="1" applyBorder="1" applyAlignment="1">
      <alignment horizontal="center"/>
    </xf>
    <xf numFmtId="0" fontId="9" fillId="3" borderId="7" xfId="0" applyFont="1" applyFill="1" applyBorder="1" applyAlignment="1">
      <alignment horizontal="left"/>
    </xf>
    <xf numFmtId="3" fontId="5" fillId="2" borderId="15" xfId="0" applyNumberFormat="1" applyFont="1" applyFill="1" applyBorder="1" applyAlignment="1">
      <alignment horizontal="center"/>
    </xf>
    <xf numFmtId="3" fontId="5" fillId="2" borderId="7" xfId="0" applyNumberFormat="1" applyFont="1" applyFill="1" applyBorder="1" applyAlignment="1">
      <alignment horizontal="center"/>
    </xf>
    <xf numFmtId="0" fontId="9" fillId="3" borderId="4" xfId="0" applyFont="1" applyFill="1" applyBorder="1" applyAlignment="1">
      <alignment horizontal="left"/>
    </xf>
    <xf numFmtId="10" fontId="5" fillId="2" borderId="4" xfId="0" applyNumberFormat="1" applyFont="1" applyFill="1" applyBorder="1" applyAlignment="1">
      <alignment horizontal="center"/>
    </xf>
    <xf numFmtId="10" fontId="5" fillId="2" borderId="18" xfId="0" applyNumberFormat="1" applyFont="1" applyFill="1" applyBorder="1" applyAlignment="1">
      <alignment horizontal="center"/>
    </xf>
    <xf numFmtId="10" fontId="5" fillId="2" borderId="6" xfId="0" applyNumberFormat="1" applyFont="1" applyFill="1" applyBorder="1" applyAlignment="1">
      <alignment horizontal="center"/>
    </xf>
    <xf numFmtId="0" fontId="10" fillId="2" borderId="11" xfId="0" applyFont="1" applyFill="1" applyBorder="1" applyAlignment="1"/>
    <xf numFmtId="3" fontId="5" fillId="0" borderId="0" xfId="0" applyNumberFormat="1" applyFont="1" applyAlignment="1">
      <alignment horizontal="center"/>
    </xf>
    <xf numFmtId="0" fontId="4" fillId="0" borderId="11" xfId="0" applyFont="1" applyBorder="1" applyAlignment="1">
      <alignment horizontal="center"/>
    </xf>
    <xf numFmtId="0" fontId="4" fillId="2" borderId="11" xfId="0" applyFont="1" applyFill="1" applyBorder="1" applyAlignment="1"/>
    <xf numFmtId="0" fontId="4" fillId="2" borderId="2" xfId="0" applyFont="1" applyFill="1" applyBorder="1" applyAlignment="1"/>
    <xf numFmtId="0" fontId="5" fillId="2" borderId="1" xfId="0" applyFont="1" applyFill="1" applyBorder="1" applyAlignment="1"/>
    <xf numFmtId="0" fontId="5" fillId="2" borderId="2" xfId="0" applyFont="1" applyFill="1" applyBorder="1" applyAlignment="1"/>
    <xf numFmtId="0" fontId="5" fillId="2" borderId="11" xfId="0" applyFont="1" applyFill="1" applyBorder="1" applyAlignment="1"/>
    <xf numFmtId="0" fontId="4" fillId="0" borderId="11" xfId="0" applyFont="1" applyBorder="1" applyAlignment="1"/>
    <xf numFmtId="3" fontId="5" fillId="0" borderId="11" xfId="0" applyNumberFormat="1" applyFont="1" applyBorder="1" applyAlignment="1">
      <alignment horizontal="center"/>
    </xf>
    <xf numFmtId="3" fontId="5" fillId="0" borderId="5" xfId="0" applyNumberFormat="1" applyFont="1" applyBorder="1" applyAlignment="1">
      <alignment horizontal="center"/>
    </xf>
    <xf numFmtId="0" fontId="5" fillId="2" borderId="12" xfId="0" applyFont="1" applyFill="1" applyBorder="1" applyAlignment="1"/>
    <xf numFmtId="0" fontId="5" fillId="2" borderId="8" xfId="0" applyFont="1" applyFill="1" applyBorder="1" applyAlignment="1"/>
    <xf numFmtId="0" fontId="5" fillId="2" borderId="7" xfId="0" applyFont="1" applyFill="1" applyBorder="1" applyAlignment="1"/>
    <xf numFmtId="0" fontId="10" fillId="2" borderId="4" xfId="0" applyFont="1" applyFill="1" applyBorder="1" applyAlignment="1"/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0" borderId="2" xfId="0" applyFont="1" applyBorder="1" applyAlignment="1"/>
    <xf numFmtId="3" fontId="5" fillId="0" borderId="2" xfId="0" applyNumberFormat="1" applyFont="1" applyBorder="1" applyAlignment="1">
      <alignment horizontal="center"/>
    </xf>
    <xf numFmtId="3" fontId="10" fillId="0" borderId="0" xfId="0" applyNumberFormat="1" applyFont="1" applyAlignment="1">
      <alignment horizontal="center"/>
    </xf>
    <xf numFmtId="3" fontId="5" fillId="2" borderId="12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1" fontId="5" fillId="2" borderId="10" xfId="0" applyNumberFormat="1" applyFont="1" applyFill="1" applyBorder="1" applyAlignment="1">
      <alignment horizontal="center"/>
    </xf>
    <xf numFmtId="0" fontId="8" fillId="2" borderId="11" xfId="0" applyFont="1" applyFill="1" applyBorder="1" applyAlignment="1"/>
    <xf numFmtId="0" fontId="5" fillId="3" borderId="12" xfId="0" applyFont="1" applyFill="1" applyBorder="1" applyAlignment="1"/>
    <xf numFmtId="0" fontId="3" fillId="0" borderId="2" xfId="0" applyFont="1" applyBorder="1" applyAlignment="1"/>
    <xf numFmtId="0" fontId="5" fillId="2" borderId="4" xfId="0" applyFont="1" applyFill="1" applyBorder="1" applyAlignment="1"/>
    <xf numFmtId="164" fontId="5" fillId="0" borderId="0" xfId="0" applyNumberFormat="1" applyFont="1" applyAlignment="1">
      <alignment horizontal="center"/>
    </xf>
    <xf numFmtId="0" fontId="0" fillId="0" borderId="11" xfId="0" applyBorder="1">
      <alignment vertical="top" wrapText="1"/>
    </xf>
    <xf numFmtId="0" fontId="5" fillId="2" borderId="5" xfId="0" applyFont="1" applyFill="1" applyBorder="1" applyAlignment="1"/>
    <xf numFmtId="3" fontId="4" fillId="2" borderId="23" xfId="0" applyNumberFormat="1" applyFont="1" applyFill="1" applyBorder="1" applyAlignment="1">
      <alignment horizontal="center"/>
    </xf>
    <xf numFmtId="3" fontId="4" fillId="2" borderId="10" xfId="0" applyNumberFormat="1" applyFont="1" applyFill="1" applyBorder="1" applyAlignment="1">
      <alignment horizontal="center"/>
    </xf>
    <xf numFmtId="3" fontId="4" fillId="0" borderId="2" xfId="0" applyNumberFormat="1" applyFont="1" applyFill="1" applyBorder="1" applyAlignment="1">
      <alignment horizontal="center"/>
    </xf>
    <xf numFmtId="0" fontId="0" fillId="0" borderId="14" xfId="0" applyBorder="1">
      <alignment vertical="top" wrapText="1"/>
    </xf>
    <xf numFmtId="3" fontId="4" fillId="0" borderId="11" xfId="0" applyNumberFormat="1" applyFont="1" applyFill="1" applyBorder="1" applyAlignment="1">
      <alignment horizontal="center"/>
    </xf>
    <xf numFmtId="3" fontId="5" fillId="0" borderId="4" xfId="0" applyNumberFormat="1" applyFont="1" applyFill="1" applyBorder="1" applyAlignment="1">
      <alignment horizontal="center"/>
    </xf>
    <xf numFmtId="0" fontId="6" fillId="2" borderId="10" xfId="0" applyFont="1" applyFill="1" applyBorder="1" applyAlignment="1"/>
    <xf numFmtId="3" fontId="4" fillId="0" borderId="0" xfId="0" applyNumberFormat="1" applyFont="1" applyFill="1" applyAlignment="1">
      <alignment horizontal="center"/>
    </xf>
    <xf numFmtId="0" fontId="1" fillId="0" borderId="2" xfId="0" applyFont="1" applyFill="1" applyBorder="1" applyAlignment="1"/>
    <xf numFmtId="3" fontId="7" fillId="0" borderId="6" xfId="0" applyNumberFormat="1" applyFont="1" applyFill="1" applyBorder="1" applyAlignment="1">
      <alignment horizontal="center"/>
    </xf>
    <xf numFmtId="3" fontId="7" fillId="0" borderId="13" xfId="0" applyNumberFormat="1" applyFont="1" applyFill="1" applyBorder="1" applyAlignment="1">
      <alignment horizontal="center"/>
    </xf>
    <xf numFmtId="3" fontId="7" fillId="0" borderId="3" xfId="0" applyNumberFormat="1" applyFont="1" applyFill="1" applyBorder="1" applyAlignment="1">
      <alignment horizontal="center"/>
    </xf>
    <xf numFmtId="3" fontId="7" fillId="0" borderId="5" xfId="0" applyNumberFormat="1" applyFont="1" applyFill="1" applyBorder="1" applyAlignment="1">
      <alignment horizontal="center"/>
    </xf>
    <xf numFmtId="3" fontId="7" fillId="0" borderId="7" xfId="0" applyNumberFormat="1" applyFont="1" applyFill="1" applyBorder="1" applyAlignment="1">
      <alignment horizontal="center"/>
    </xf>
    <xf numFmtId="3" fontId="7" fillId="0" borderId="23" xfId="0" applyNumberFormat="1" applyFont="1" applyFill="1" applyBorder="1" applyAlignment="1">
      <alignment horizontal="center"/>
    </xf>
    <xf numFmtId="3" fontId="7" fillId="0" borderId="1" xfId="0" applyNumberFormat="1" applyFont="1" applyFill="1" applyBorder="1" applyAlignment="1">
      <alignment horizontal="center"/>
    </xf>
    <xf numFmtId="3" fontId="7" fillId="0" borderId="22" xfId="0" applyNumberFormat="1" applyFont="1" applyFill="1" applyBorder="1" applyAlignment="1">
      <alignment horizontal="center"/>
    </xf>
    <xf numFmtId="3" fontId="7" fillId="0" borderId="9" xfId="0" applyNumberFormat="1" applyFont="1" applyFill="1" applyBorder="1" applyAlignment="1">
      <alignment horizontal="center"/>
    </xf>
    <xf numFmtId="0" fontId="9" fillId="3" borderId="11" xfId="0" applyFont="1" applyFill="1" applyBorder="1" applyAlignment="1">
      <alignment horizontal="left"/>
    </xf>
    <xf numFmtId="3" fontId="5" fillId="2" borderId="11" xfId="0" applyNumberFormat="1" applyFont="1" applyFill="1" applyBorder="1" applyAlignment="1">
      <alignment horizontal="center"/>
    </xf>
    <xf numFmtId="3" fontId="7" fillId="2" borderId="25" xfId="0" applyNumberFormat="1" applyFont="1" applyFill="1" applyBorder="1" applyAlignment="1">
      <alignment horizontal="center"/>
    </xf>
    <xf numFmtId="3" fontId="7" fillId="2" borderId="7" xfId="0" applyNumberFormat="1" applyFont="1" applyFill="1" applyBorder="1" applyAlignment="1">
      <alignment horizontal="center"/>
    </xf>
    <xf numFmtId="0" fontId="9" fillId="3" borderId="12" xfId="0" applyFont="1" applyFill="1" applyBorder="1" applyAlignment="1">
      <alignment horizontal="left"/>
    </xf>
    <xf numFmtId="3" fontId="7" fillId="2" borderId="12" xfId="0" applyNumberFormat="1" applyFont="1" applyFill="1" applyBorder="1" applyAlignment="1">
      <alignment horizontal="center"/>
    </xf>
    <xf numFmtId="3" fontId="7" fillId="2" borderId="26" xfId="0" applyNumberFormat="1" applyFont="1" applyFill="1" applyBorder="1" applyAlignment="1">
      <alignment horizontal="center"/>
    </xf>
    <xf numFmtId="3" fontId="7" fillId="0" borderId="18" xfId="0" applyNumberFormat="1" applyFont="1" applyFill="1" applyBorder="1" applyAlignment="1">
      <alignment horizontal="center"/>
    </xf>
    <xf numFmtId="3" fontId="7" fillId="0" borderId="4" xfId="0" applyNumberFormat="1" applyFont="1" applyFill="1" applyBorder="1" applyAlignment="1">
      <alignment horizontal="center"/>
    </xf>
    <xf numFmtId="0" fontId="5" fillId="2" borderId="6" xfId="0" applyFont="1" applyFill="1" applyBorder="1" applyAlignment="1"/>
    <xf numFmtId="0" fontId="0" fillId="0" borderId="13" xfId="0" applyBorder="1">
      <alignment vertical="top" wrapText="1"/>
    </xf>
    <xf numFmtId="0" fontId="4" fillId="0" borderId="11" xfId="0" applyFont="1" applyFill="1" applyBorder="1" applyAlignment="1"/>
    <xf numFmtId="10" fontId="4" fillId="0" borderId="11" xfId="0" applyNumberFormat="1" applyFont="1" applyFill="1" applyBorder="1" applyAlignment="1">
      <alignment horizontal="center"/>
    </xf>
    <xf numFmtId="10" fontId="5" fillId="0" borderId="0" xfId="0" applyNumberFormat="1" applyFont="1" applyFill="1" applyAlignment="1">
      <alignment horizontal="center"/>
    </xf>
    <xf numFmtId="10" fontId="5" fillId="0" borderId="4" xfId="0" applyNumberFormat="1" applyFont="1" applyFill="1" applyBorder="1" applyAlignment="1">
      <alignment horizontal="center"/>
    </xf>
    <xf numFmtId="3" fontId="5" fillId="0" borderId="0" xfId="0" applyNumberFormat="1" applyFont="1" applyFill="1" applyAlignment="1">
      <alignment horizontal="center"/>
    </xf>
    <xf numFmtId="10" fontId="5" fillId="0" borderId="10" xfId="0" applyNumberFormat="1" applyFont="1" applyFill="1" applyBorder="1" applyAlignment="1">
      <alignment horizontal="center"/>
    </xf>
    <xf numFmtId="3" fontId="5" fillId="2" borderId="1" xfId="0" applyNumberFormat="1" applyFont="1" applyFill="1" applyBorder="1" applyAlignment="1">
      <alignment horizontal="center"/>
    </xf>
    <xf numFmtId="3" fontId="5" fillId="2" borderId="23" xfId="0" applyNumberFormat="1" applyFont="1" applyFill="1" applyBorder="1" applyAlignment="1">
      <alignment horizontal="center"/>
    </xf>
    <xf numFmtId="3" fontId="4" fillId="0" borderId="0" xfId="0" applyNumberFormat="1" applyFont="1" applyFill="1" applyBorder="1" applyAlignment="1">
      <alignment horizontal="center"/>
    </xf>
    <xf numFmtId="0" fontId="4" fillId="0" borderId="2" xfId="0" applyFont="1" applyFill="1" applyBorder="1" applyAlignment="1"/>
    <xf numFmtId="10" fontId="4" fillId="0" borderId="6" xfId="0" applyNumberFormat="1" applyFont="1" applyFill="1" applyBorder="1" applyAlignment="1">
      <alignment horizontal="center"/>
    </xf>
    <xf numFmtId="0" fontId="5" fillId="0" borderId="2" xfId="0" applyFont="1" applyFill="1" applyBorder="1" applyAlignment="1"/>
    <xf numFmtId="4" fontId="4" fillId="0" borderId="2" xfId="0" applyNumberFormat="1" applyFont="1" applyFill="1" applyBorder="1" applyAlignment="1">
      <alignment horizontal="center"/>
    </xf>
    <xf numFmtId="10" fontId="4" fillId="0" borderId="14" xfId="0" applyNumberFormat="1" applyFont="1" applyFill="1" applyBorder="1" applyAlignment="1">
      <alignment horizontal="center"/>
    </xf>
    <xf numFmtId="3" fontId="4" fillId="0" borderId="14" xfId="0" applyNumberFormat="1" applyFont="1" applyFill="1" applyBorder="1" applyAlignment="1">
      <alignment horizontal="center"/>
    </xf>
    <xf numFmtId="10" fontId="4" fillId="0" borderId="2" xfId="0" applyNumberFormat="1" applyFont="1" applyFill="1" applyBorder="1" applyAlignment="1">
      <alignment horizontal="center"/>
    </xf>
    <xf numFmtId="10" fontId="5" fillId="2" borderId="1" xfId="0" applyNumberFormat="1" applyFont="1" applyFill="1" applyBorder="1" applyAlignment="1">
      <alignment horizontal="center"/>
    </xf>
    <xf numFmtId="10" fontId="11" fillId="0" borderId="2" xfId="0" applyNumberFormat="1" applyFont="1" applyFill="1" applyBorder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165" fontId="4" fillId="0" borderId="2" xfId="0" applyNumberFormat="1" applyFont="1" applyFill="1" applyBorder="1" applyAlignment="1">
      <alignment horizontal="center"/>
    </xf>
    <xf numFmtId="164" fontId="4" fillId="0" borderId="11" xfId="0" applyNumberFormat="1" applyFont="1" applyFill="1" applyBorder="1" applyAlignment="1">
      <alignment horizontal="center"/>
    </xf>
    <xf numFmtId="4" fontId="4" fillId="0" borderId="3" xfId="0" applyNumberFormat="1" applyFont="1" applyFill="1" applyBorder="1" applyAlignment="1">
      <alignment horizontal="center"/>
    </xf>
    <xf numFmtId="3" fontId="4" fillId="0" borderId="3" xfId="0" applyNumberFormat="1" applyFont="1" applyFill="1" applyBorder="1" applyAlignment="1">
      <alignment horizontal="center"/>
    </xf>
    <xf numFmtId="3" fontId="4" fillId="0" borderId="5" xfId="0" applyNumberFormat="1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165" fontId="5" fillId="2" borderId="1" xfId="0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3" fontId="4" fillId="0" borderId="6" xfId="0" applyNumberFormat="1" applyFont="1" applyBorder="1" applyAlignment="1">
      <alignment horizontal="center"/>
    </xf>
    <xf numFmtId="1" fontId="5" fillId="2" borderId="1" xfId="0" applyNumberFormat="1" applyFont="1" applyFill="1" applyBorder="1" applyAlignment="1">
      <alignment horizontal="center"/>
    </xf>
    <xf numFmtId="3" fontId="4" fillId="0" borderId="4" xfId="0" applyNumberFormat="1" applyFont="1" applyBorder="1" applyAlignment="1">
      <alignment horizontal="center"/>
    </xf>
    <xf numFmtId="3" fontId="5" fillId="0" borderId="6" xfId="0" applyNumberFormat="1" applyFont="1" applyFill="1" applyBorder="1" applyAlignment="1">
      <alignment horizontal="center"/>
    </xf>
    <xf numFmtId="3" fontId="4" fillId="0" borderId="27" xfId="0" applyNumberFormat="1" applyFont="1" applyBorder="1" applyAlignment="1">
      <alignment horizontal="center"/>
    </xf>
    <xf numFmtId="3" fontId="7" fillId="2" borderId="15" xfId="0" applyNumberFormat="1" applyFont="1" applyFill="1" applyBorder="1" applyAlignment="1">
      <alignment horizontal="center"/>
    </xf>
    <xf numFmtId="10" fontId="10" fillId="0" borderId="2" xfId="0" applyNumberFormat="1" applyFont="1" applyBorder="1" applyAlignment="1">
      <alignment horizontal="center"/>
    </xf>
    <xf numFmtId="10" fontId="7" fillId="0" borderId="5" xfId="0" applyNumberFormat="1" applyFont="1" applyFill="1" applyBorder="1" applyAlignment="1">
      <alignment horizontal="center"/>
    </xf>
    <xf numFmtId="3" fontId="5" fillId="0" borderId="5" xfId="0" applyNumberFormat="1" applyFont="1" applyFill="1" applyBorder="1" applyAlignment="1">
      <alignment horizontal="center"/>
    </xf>
    <xf numFmtId="164" fontId="5" fillId="0" borderId="4" xfId="0" applyNumberFormat="1" applyFont="1" applyFill="1" applyBorder="1" applyAlignment="1">
      <alignment horizontal="center"/>
    </xf>
    <xf numFmtId="164" fontId="5" fillId="0" borderId="8" xfId="0" applyNumberFormat="1" applyFont="1" applyFill="1" applyBorder="1" applyAlignment="1">
      <alignment horizontal="center"/>
    </xf>
    <xf numFmtId="1" fontId="4" fillId="0" borderId="11" xfId="0" applyNumberFormat="1" applyFont="1" applyFill="1" applyBorder="1" applyAlignment="1">
      <alignment horizontal="center"/>
    </xf>
    <xf numFmtId="10" fontId="5" fillId="0" borderId="6" xfId="0" applyNumberFormat="1" applyFont="1" applyFill="1" applyBorder="1" applyAlignment="1">
      <alignment horizontal="center"/>
    </xf>
    <xf numFmtId="3" fontId="10" fillId="0" borderId="0" xfId="0" applyNumberFormat="1" applyFont="1" applyFill="1" applyAlignment="1">
      <alignment horizontal="center"/>
    </xf>
    <xf numFmtId="0" fontId="4" fillId="0" borderId="0" xfId="0" applyFont="1" applyFill="1" applyAlignment="1"/>
    <xf numFmtId="3" fontId="5" fillId="0" borderId="0" xfId="0" applyNumberFormat="1" applyFont="1" applyFill="1" applyBorder="1" applyAlignment="1">
      <alignment horizontal="center"/>
    </xf>
    <xf numFmtId="1" fontId="4" fillId="0" borderId="2" xfId="0" applyNumberFormat="1" applyFont="1" applyFill="1" applyBorder="1" applyAlignment="1">
      <alignment horizontal="center"/>
    </xf>
    <xf numFmtId="3" fontId="5" fillId="2" borderId="26" xfId="0" applyNumberFormat="1" applyFont="1" applyFill="1" applyBorder="1" applyAlignment="1">
      <alignment horizontal="center"/>
    </xf>
    <xf numFmtId="3" fontId="1" fillId="0" borderId="0" xfId="0" applyNumberFormat="1" applyFont="1" applyAlignment="1"/>
    <xf numFmtId="3" fontId="4" fillId="0" borderId="0" xfId="0" applyNumberFormat="1" applyFont="1" applyBorder="1" applyAlignment="1">
      <alignment horizontal="center"/>
    </xf>
    <xf numFmtId="3" fontId="4" fillId="0" borderId="5" xfId="0" applyNumberFormat="1" applyFont="1" applyBorder="1" applyAlignment="1">
      <alignment horizontal="center"/>
    </xf>
    <xf numFmtId="3" fontId="4" fillId="0" borderId="3" xfId="0" applyNumberFormat="1" applyFont="1" applyBorder="1" applyAlignment="1">
      <alignment horizontal="center"/>
    </xf>
    <xf numFmtId="3" fontId="5" fillId="2" borderId="24" xfId="0" applyNumberFormat="1" applyFont="1" applyFill="1" applyBorder="1" applyAlignment="1">
      <alignment horizontal="center"/>
    </xf>
    <xf numFmtId="10" fontId="5" fillId="2" borderId="5" xfId="0" applyNumberFormat="1" applyFont="1" applyFill="1" applyBorder="1" applyAlignment="1">
      <alignment horizontal="center"/>
    </xf>
    <xf numFmtId="10" fontId="4" fillId="0" borderId="13" xfId="0" applyNumberFormat="1" applyFont="1" applyBorder="1" applyAlignment="1">
      <alignment horizontal="center"/>
    </xf>
    <xf numFmtId="3" fontId="5" fillId="2" borderId="10" xfId="0" applyNumberFormat="1" applyFont="1" applyFill="1" applyBorder="1" applyAlignment="1">
      <alignment horizontal="center"/>
    </xf>
    <xf numFmtId="3" fontId="4" fillId="2" borderId="5" xfId="0" applyNumberFormat="1" applyFont="1" applyFill="1" applyBorder="1" applyAlignment="1">
      <alignment horizontal="center"/>
    </xf>
    <xf numFmtId="3" fontId="7" fillId="0" borderId="10" xfId="0" applyNumberFormat="1" applyFont="1" applyFill="1" applyBorder="1" applyAlignment="1">
      <alignment horizontal="center"/>
    </xf>
    <xf numFmtId="164" fontId="5" fillId="2" borderId="4" xfId="0" applyNumberFormat="1" applyFont="1" applyFill="1" applyBorder="1" applyAlignment="1">
      <alignment horizontal="center"/>
    </xf>
    <xf numFmtId="3" fontId="7" fillId="0" borderId="8" xfId="0" applyNumberFormat="1" applyFont="1" applyFill="1" applyBorder="1" applyAlignment="1">
      <alignment horizontal="center"/>
    </xf>
    <xf numFmtId="0" fontId="5" fillId="2" borderId="26" xfId="0" applyFont="1" applyFill="1" applyBorder="1" applyAlignment="1"/>
    <xf numFmtId="10" fontId="5" fillId="2" borderId="12" xfId="0" applyNumberFormat="1" applyFont="1" applyFill="1" applyBorder="1" applyAlignment="1">
      <alignment horizontal="center"/>
    </xf>
    <xf numFmtId="10" fontId="5" fillId="2" borderId="8" xfId="0" applyNumberFormat="1" applyFont="1" applyFill="1" applyBorder="1" applyAlignment="1">
      <alignment horizontal="center"/>
    </xf>
    <xf numFmtId="10" fontId="5" fillId="2" borderId="15" xfId="0" applyNumberFormat="1" applyFont="1" applyFill="1" applyBorder="1" applyAlignment="1">
      <alignment horizontal="center"/>
    </xf>
    <xf numFmtId="10" fontId="5" fillId="2" borderId="9" xfId="0" applyNumberFormat="1" applyFont="1" applyFill="1" applyBorder="1" applyAlignment="1">
      <alignment horizontal="center"/>
    </xf>
    <xf numFmtId="3" fontId="7" fillId="2" borderId="6" xfId="0" applyNumberFormat="1" applyFont="1" applyFill="1" applyBorder="1" applyAlignment="1">
      <alignment horizontal="center"/>
    </xf>
    <xf numFmtId="3" fontId="7" fillId="2" borderId="4" xfId="0" applyNumberFormat="1" applyFont="1" applyFill="1" applyBorder="1" applyAlignment="1">
      <alignment horizontal="center"/>
    </xf>
    <xf numFmtId="10" fontId="5" fillId="2" borderId="26" xfId="0" applyNumberFormat="1" applyFont="1" applyFill="1" applyBorder="1" applyAlignment="1">
      <alignment horizontal="center"/>
    </xf>
    <xf numFmtId="10" fontId="5" fillId="2" borderId="3" xfId="0" applyNumberFormat="1" applyFont="1" applyFill="1" applyBorder="1" applyAlignment="1">
      <alignment horizontal="center"/>
    </xf>
    <xf numFmtId="164" fontId="5" fillId="2" borderId="26" xfId="0" applyNumberFormat="1" applyFont="1" applyFill="1" applyBorder="1" applyAlignment="1">
      <alignment horizontal="center"/>
    </xf>
    <xf numFmtId="10" fontId="5" fillId="2" borderId="2" xfId="0" applyNumberFormat="1" applyFont="1" applyFill="1" applyBorder="1" applyAlignment="1">
      <alignment horizontal="center"/>
    </xf>
    <xf numFmtId="10" fontId="4" fillId="2" borderId="9" xfId="0" applyNumberFormat="1" applyFont="1" applyFill="1" applyBorder="1" applyAlignment="1">
      <alignment horizontal="center"/>
    </xf>
    <xf numFmtId="3" fontId="5" fillId="2" borderId="8" xfId="0" applyNumberFormat="1" applyFont="1" applyFill="1" applyBorder="1" applyAlignment="1">
      <alignment horizontal="center"/>
    </xf>
    <xf numFmtId="0" fontId="10" fillId="0" borderId="4" xfId="0" applyFont="1" applyFill="1" applyBorder="1" applyAlignment="1"/>
    <xf numFmtId="4" fontId="4" fillId="0" borderId="6" xfId="0" applyNumberFormat="1" applyFont="1" applyFill="1" applyBorder="1" applyAlignment="1">
      <alignment horizontal="center"/>
    </xf>
    <xf numFmtId="10" fontId="4" fillId="0" borderId="4" xfId="0" applyNumberFormat="1" applyFont="1" applyFill="1" applyBorder="1" applyAlignment="1">
      <alignment horizontal="center"/>
    </xf>
    <xf numFmtId="0" fontId="4" fillId="2" borderId="1" xfId="0" applyFont="1" applyFill="1" applyBorder="1" applyAlignment="1"/>
    <xf numFmtId="0" fontId="4" fillId="2" borderId="23" xfId="0" applyFont="1" applyFill="1" applyBorder="1" applyAlignment="1"/>
    <xf numFmtId="10" fontId="5" fillId="2" borderId="28" xfId="0" applyNumberFormat="1" applyFont="1" applyFill="1" applyBorder="1" applyAlignment="1">
      <alignment horizontal="center"/>
    </xf>
    <xf numFmtId="10" fontId="5" fillId="2" borderId="7" xfId="0" applyNumberFormat="1" applyFont="1" applyFill="1" applyBorder="1" applyAlignment="1">
      <alignment horizontal="center"/>
    </xf>
    <xf numFmtId="10" fontId="5" fillId="2" borderId="11" xfId="0" applyNumberFormat="1" applyFont="1" applyFill="1" applyBorder="1" applyAlignment="1">
      <alignment horizontal="center"/>
    </xf>
    <xf numFmtId="3" fontId="7" fillId="2" borderId="18" xfId="0" applyNumberFormat="1" applyFont="1" applyFill="1" applyBorder="1" applyAlignment="1">
      <alignment horizontal="center"/>
    </xf>
    <xf numFmtId="10" fontId="7" fillId="2" borderId="7" xfId="0" applyNumberFormat="1" applyFont="1" applyFill="1" applyBorder="1" applyAlignment="1">
      <alignment horizontal="center"/>
    </xf>
    <xf numFmtId="10" fontId="7" fillId="2" borderId="25" xfId="0" applyNumberFormat="1" applyFont="1" applyFill="1" applyBorder="1" applyAlignment="1">
      <alignment horizontal="center"/>
    </xf>
    <xf numFmtId="10" fontId="7" fillId="2" borderId="15" xfId="0" applyNumberFormat="1" applyFont="1" applyFill="1" applyBorder="1" applyAlignment="1">
      <alignment horizontal="center"/>
    </xf>
    <xf numFmtId="10" fontId="7" fillId="2" borderId="0" xfId="0" applyNumberFormat="1" applyFont="1" applyFill="1" applyBorder="1" applyAlignment="1">
      <alignment horizontal="center"/>
    </xf>
    <xf numFmtId="10" fontId="7" fillId="2" borderId="2" xfId="0" applyNumberFormat="1" applyFont="1" applyFill="1" applyBorder="1" applyAlignment="1">
      <alignment horizontal="center"/>
    </xf>
    <xf numFmtId="10" fontId="7" fillId="2" borderId="11" xfId="0" applyNumberFormat="1" applyFont="1" applyFill="1" applyBorder="1" applyAlignment="1">
      <alignment horizontal="center"/>
    </xf>
    <xf numFmtId="0" fontId="10" fillId="2" borderId="18" xfId="0" applyFont="1" applyFill="1" applyBorder="1" applyAlignment="1"/>
    <xf numFmtId="0" fontId="10" fillId="2" borderId="15" xfId="0" applyFont="1" applyFill="1" applyBorder="1" applyAlignment="1"/>
    <xf numFmtId="10" fontId="7" fillId="2" borderId="26" xfId="0" applyNumberFormat="1" applyFont="1" applyFill="1" applyBorder="1" applyAlignment="1">
      <alignment horizontal="center"/>
    </xf>
    <xf numFmtId="10" fontId="7" fillId="2" borderId="12" xfId="0" applyNumberFormat="1" applyFont="1" applyFill="1" applyBorder="1" applyAlignment="1">
      <alignment horizontal="center"/>
    </xf>
    <xf numFmtId="44" fontId="6" fillId="2" borderId="11" xfId="1" applyFont="1" applyFill="1" applyBorder="1" applyAlignment="1"/>
    <xf numFmtId="3" fontId="7" fillId="0" borderId="0" xfId="0" applyNumberFormat="1" applyFont="1" applyAlignment="1">
      <alignment horizontal="center"/>
    </xf>
    <xf numFmtId="3" fontId="7" fillId="0" borderId="2" xfId="0" applyNumberFormat="1" applyFont="1" applyBorder="1" applyAlignment="1">
      <alignment horizontal="center"/>
    </xf>
    <xf numFmtId="3" fontId="7" fillId="0" borderId="11" xfId="0" applyNumberFormat="1" applyFont="1" applyBorder="1" applyAlignment="1">
      <alignment horizontal="center"/>
    </xf>
    <xf numFmtId="3" fontId="0" fillId="0" borderId="0" xfId="0" applyNumberFormat="1">
      <alignment vertical="top" wrapText="1"/>
    </xf>
  </cellXfs>
  <cellStyles count="2">
    <cellStyle name="Currency" xfId="1" builtinId="4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A19C-0912-446E-A340-EBCE0E2742BB}">
  <dimension ref="A2:R199"/>
  <sheetViews>
    <sheetView tabSelected="1" workbookViewId="0">
      <selection activeCell="C1" sqref="C1"/>
    </sheetView>
  </sheetViews>
  <sheetFormatPr defaultRowHeight="12.75"/>
  <cols>
    <col min="1" max="1" width="1.5703125" customWidth="1"/>
    <col min="2" max="2" width="38.42578125" customWidth="1"/>
    <col min="3" max="3" width="13.5703125" customWidth="1"/>
    <col min="4" max="4" width="17.28515625" customWidth="1"/>
    <col min="5" max="5" width="16" customWidth="1"/>
    <col min="6" max="6" width="15.7109375" customWidth="1"/>
    <col min="7" max="7" width="16.140625" customWidth="1"/>
    <col min="8" max="8" width="16.7109375" customWidth="1"/>
    <col min="9" max="9" width="16.28515625" customWidth="1"/>
    <col min="10" max="10" width="16.42578125" customWidth="1"/>
    <col min="11" max="11" width="16.5703125" customWidth="1"/>
    <col min="12" max="13" width="16.42578125" customWidth="1"/>
    <col min="14" max="15" width="16.140625" customWidth="1"/>
    <col min="16" max="16" width="16" customWidth="1"/>
    <col min="18" max="18" width="11.5703125" bestFit="1" customWidth="1"/>
  </cols>
  <sheetData>
    <row r="2" spans="1:18" ht="15.75">
      <c r="A2" s="5"/>
      <c r="B2" s="6" t="s">
        <v>66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7"/>
      <c r="Q2" s="1"/>
    </row>
    <row r="3" spans="1:18" ht="15.75">
      <c r="A3" s="5"/>
      <c r="B3" s="6" t="s">
        <v>65</v>
      </c>
      <c r="C3" s="8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1"/>
    </row>
    <row r="4" spans="1:18" ht="15.75">
      <c r="A4" s="5"/>
      <c r="B4" s="9" t="s">
        <v>75</v>
      </c>
      <c r="C4" s="10"/>
      <c r="D4" s="12">
        <v>46023</v>
      </c>
      <c r="E4" s="12" t="s">
        <v>1</v>
      </c>
      <c r="F4" s="12" t="s">
        <v>2</v>
      </c>
      <c r="G4" s="12" t="s">
        <v>3</v>
      </c>
      <c r="H4" s="12" t="s">
        <v>4</v>
      </c>
      <c r="I4" s="12" t="s">
        <v>5</v>
      </c>
      <c r="J4" s="12" t="s">
        <v>6</v>
      </c>
      <c r="K4" s="12" t="s">
        <v>7</v>
      </c>
      <c r="L4" s="12" t="s">
        <v>8</v>
      </c>
      <c r="M4" s="12" t="s">
        <v>9</v>
      </c>
      <c r="N4" s="12" t="s">
        <v>10</v>
      </c>
      <c r="O4" s="12" t="s">
        <v>11</v>
      </c>
      <c r="P4" s="11" t="s">
        <v>0</v>
      </c>
      <c r="Q4" s="2"/>
    </row>
    <row r="5" spans="1:18" ht="15.75">
      <c r="A5" s="5"/>
      <c r="B5" s="9"/>
      <c r="C5" s="154"/>
      <c r="D5" s="76">
        <v>31</v>
      </c>
      <c r="E5" s="129">
        <v>29</v>
      </c>
      <c r="F5" s="129">
        <v>31</v>
      </c>
      <c r="G5" s="129">
        <v>30</v>
      </c>
      <c r="H5" s="129">
        <v>31</v>
      </c>
      <c r="I5" s="129">
        <v>30</v>
      </c>
      <c r="J5" s="129">
        <v>31</v>
      </c>
      <c r="K5" s="129">
        <v>31</v>
      </c>
      <c r="L5" s="129">
        <v>30</v>
      </c>
      <c r="M5" s="129">
        <v>31</v>
      </c>
      <c r="N5" s="129">
        <v>30</v>
      </c>
      <c r="O5" s="129">
        <v>31</v>
      </c>
      <c r="P5" s="77">
        <f>SUM(D5:O5)</f>
        <v>366</v>
      </c>
      <c r="Q5" s="4"/>
    </row>
    <row r="6" spans="1:18" ht="15.75">
      <c r="A6" s="5"/>
      <c r="B6" s="75" t="s">
        <v>69</v>
      </c>
      <c r="C6" s="15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4"/>
      <c r="Q6" s="2"/>
    </row>
    <row r="7" spans="1:18" ht="15.75">
      <c r="A7" s="5"/>
      <c r="B7" s="17" t="s">
        <v>14</v>
      </c>
      <c r="C7" s="15"/>
      <c r="D7" s="13">
        <v>180</v>
      </c>
      <c r="E7" s="16">
        <v>140</v>
      </c>
      <c r="F7" s="16">
        <f>E7+2</f>
        <v>142</v>
      </c>
      <c r="G7" s="16">
        <f t="shared" ref="G7:H7" si="0">F7+2</f>
        <v>144</v>
      </c>
      <c r="H7" s="16">
        <f t="shared" si="0"/>
        <v>146</v>
      </c>
      <c r="I7" s="16">
        <f>H7+1</f>
        <v>147</v>
      </c>
      <c r="J7" s="16">
        <f t="shared" ref="J7:O7" si="1">I7+1</f>
        <v>148</v>
      </c>
      <c r="K7" s="16">
        <f t="shared" si="1"/>
        <v>149</v>
      </c>
      <c r="L7" s="16">
        <f t="shared" si="1"/>
        <v>150</v>
      </c>
      <c r="M7" s="16">
        <f t="shared" si="1"/>
        <v>151</v>
      </c>
      <c r="N7" s="16">
        <f t="shared" si="1"/>
        <v>152</v>
      </c>
      <c r="O7" s="16">
        <f t="shared" si="1"/>
        <v>153</v>
      </c>
      <c r="P7" s="34">
        <f>SUM(D7:O7)</f>
        <v>1802</v>
      </c>
      <c r="Q7" s="2"/>
    </row>
    <row r="8" spans="1:18" ht="15.75">
      <c r="A8" s="5"/>
      <c r="B8" s="82" t="s">
        <v>15</v>
      </c>
      <c r="C8" s="15"/>
      <c r="D8" s="13">
        <f t="shared" ref="D8:O8" si="2">D5*D7</f>
        <v>5580</v>
      </c>
      <c r="E8" s="16">
        <f t="shared" si="2"/>
        <v>4060</v>
      </c>
      <c r="F8" s="16">
        <f t="shared" si="2"/>
        <v>4402</v>
      </c>
      <c r="G8" s="16">
        <f t="shared" si="2"/>
        <v>4320</v>
      </c>
      <c r="H8" s="16">
        <f t="shared" si="2"/>
        <v>4526</v>
      </c>
      <c r="I8" s="16">
        <f t="shared" si="2"/>
        <v>4410</v>
      </c>
      <c r="J8" s="16">
        <f t="shared" si="2"/>
        <v>4588</v>
      </c>
      <c r="K8" s="16">
        <f t="shared" si="2"/>
        <v>4619</v>
      </c>
      <c r="L8" s="16">
        <f t="shared" si="2"/>
        <v>4500</v>
      </c>
      <c r="M8" s="16">
        <f t="shared" si="2"/>
        <v>4681</v>
      </c>
      <c r="N8" s="16">
        <f t="shared" si="2"/>
        <v>4560</v>
      </c>
      <c r="O8" s="16">
        <f t="shared" si="2"/>
        <v>4743</v>
      </c>
      <c r="P8" s="34">
        <f>SUM(D8:O8)</f>
        <v>54989</v>
      </c>
      <c r="Q8" s="2"/>
    </row>
    <row r="9" spans="1:18" ht="15.75">
      <c r="A9" s="5"/>
      <c r="B9" s="82" t="s">
        <v>16</v>
      </c>
      <c r="C9" s="15"/>
      <c r="D9" s="83">
        <v>400000</v>
      </c>
      <c r="E9" s="78">
        <f>D9+5000</f>
        <v>405000</v>
      </c>
      <c r="F9" s="78">
        <f t="shared" ref="F9:H9" si="3">E9+5000</f>
        <v>410000</v>
      </c>
      <c r="G9" s="78">
        <f t="shared" si="3"/>
        <v>415000</v>
      </c>
      <c r="H9" s="78">
        <f t="shared" si="3"/>
        <v>420000</v>
      </c>
      <c r="I9" s="78">
        <f>H9+2500</f>
        <v>422500</v>
      </c>
      <c r="J9" s="78">
        <f t="shared" ref="J9:O9" si="4">I9+2500</f>
        <v>425000</v>
      </c>
      <c r="K9" s="78">
        <f t="shared" si="4"/>
        <v>427500</v>
      </c>
      <c r="L9" s="78">
        <f t="shared" si="4"/>
        <v>430000</v>
      </c>
      <c r="M9" s="78">
        <f t="shared" si="4"/>
        <v>432500</v>
      </c>
      <c r="N9" s="78">
        <f t="shared" si="4"/>
        <v>435000</v>
      </c>
      <c r="O9" s="78">
        <f t="shared" si="4"/>
        <v>437500</v>
      </c>
      <c r="P9" s="80">
        <f>SUM(D9:O9)/12</f>
        <v>421666.66666666669</v>
      </c>
      <c r="Q9" s="84"/>
    </row>
    <row r="10" spans="1:18" ht="15.75">
      <c r="A10" s="5"/>
      <c r="B10" s="82" t="s">
        <v>17</v>
      </c>
      <c r="C10" s="15"/>
      <c r="D10" s="83">
        <f t="shared" ref="D10:O10" si="5">D8*D9</f>
        <v>2232000000</v>
      </c>
      <c r="E10" s="78">
        <f t="shared" si="5"/>
        <v>1644300000</v>
      </c>
      <c r="F10" s="78">
        <f t="shared" si="5"/>
        <v>1804820000</v>
      </c>
      <c r="G10" s="78">
        <f t="shared" si="5"/>
        <v>1792800000</v>
      </c>
      <c r="H10" s="78">
        <f t="shared" si="5"/>
        <v>1900920000</v>
      </c>
      <c r="I10" s="78">
        <f t="shared" si="5"/>
        <v>1863225000</v>
      </c>
      <c r="J10" s="78">
        <f t="shared" si="5"/>
        <v>1949900000</v>
      </c>
      <c r="K10" s="78">
        <f t="shared" si="5"/>
        <v>1974622500</v>
      </c>
      <c r="L10" s="78">
        <f t="shared" si="5"/>
        <v>1935000000</v>
      </c>
      <c r="M10" s="78">
        <f t="shared" si="5"/>
        <v>2024532500</v>
      </c>
      <c r="N10" s="78">
        <f t="shared" si="5"/>
        <v>1983600000</v>
      </c>
      <c r="O10" s="78">
        <f t="shared" si="5"/>
        <v>2075062500</v>
      </c>
      <c r="P10" s="80">
        <f>SUM(D10:O10)</f>
        <v>23180782500</v>
      </c>
      <c r="Q10" s="84"/>
      <c r="R10" s="198">
        <f>(P10/P5)*1.21</f>
        <v>76635920.286885247</v>
      </c>
    </row>
    <row r="11" spans="1:18" ht="15.75">
      <c r="A11" s="5"/>
      <c r="B11" s="82" t="s">
        <v>99</v>
      </c>
      <c r="C11" s="15"/>
      <c r="D11" s="83">
        <v>50</v>
      </c>
      <c r="E11" s="78">
        <f>D11+2</f>
        <v>52</v>
      </c>
      <c r="F11" s="78">
        <f t="shared" ref="F11:H11" si="6">E11+2</f>
        <v>54</v>
      </c>
      <c r="G11" s="78">
        <f t="shared" si="6"/>
        <v>56</v>
      </c>
      <c r="H11" s="78">
        <f t="shared" si="6"/>
        <v>58</v>
      </c>
      <c r="I11" s="78">
        <f>H11+1</f>
        <v>59</v>
      </c>
      <c r="J11" s="78">
        <f t="shared" ref="J11:O11" si="7">I11+1</f>
        <v>60</v>
      </c>
      <c r="K11" s="78">
        <f t="shared" si="7"/>
        <v>61</v>
      </c>
      <c r="L11" s="78">
        <f t="shared" si="7"/>
        <v>62</v>
      </c>
      <c r="M11" s="78">
        <f t="shared" si="7"/>
        <v>63</v>
      </c>
      <c r="N11" s="78">
        <f t="shared" si="7"/>
        <v>64</v>
      </c>
      <c r="O11" s="78">
        <f t="shared" si="7"/>
        <v>65</v>
      </c>
      <c r="P11" s="80">
        <f>SUM(D11:O11)</f>
        <v>704</v>
      </c>
      <c r="Q11" s="84"/>
    </row>
    <row r="12" spans="1:18" ht="15.75">
      <c r="A12" s="5"/>
      <c r="B12" s="82" t="s">
        <v>99</v>
      </c>
      <c r="C12" s="15"/>
      <c r="D12" s="83">
        <f t="shared" ref="D12:O12" si="8">D5*D11</f>
        <v>1550</v>
      </c>
      <c r="E12" s="78">
        <f t="shared" si="8"/>
        <v>1508</v>
      </c>
      <c r="F12" s="78">
        <f t="shared" si="8"/>
        <v>1674</v>
      </c>
      <c r="G12" s="78">
        <f t="shared" si="8"/>
        <v>1680</v>
      </c>
      <c r="H12" s="78">
        <f t="shared" si="8"/>
        <v>1798</v>
      </c>
      <c r="I12" s="78">
        <f t="shared" si="8"/>
        <v>1770</v>
      </c>
      <c r="J12" s="78">
        <f t="shared" si="8"/>
        <v>1860</v>
      </c>
      <c r="K12" s="78">
        <f t="shared" si="8"/>
        <v>1891</v>
      </c>
      <c r="L12" s="78">
        <f t="shared" si="8"/>
        <v>1860</v>
      </c>
      <c r="M12" s="78">
        <f t="shared" si="8"/>
        <v>1953</v>
      </c>
      <c r="N12" s="78">
        <f t="shared" si="8"/>
        <v>1920</v>
      </c>
      <c r="O12" s="78">
        <f t="shared" si="8"/>
        <v>2015</v>
      </c>
      <c r="P12" s="80">
        <f>SUM(D12:O12)</f>
        <v>21479</v>
      </c>
      <c r="Q12" s="84"/>
    </row>
    <row r="13" spans="1:18" ht="15.75">
      <c r="A13" s="5"/>
      <c r="B13" s="82" t="s">
        <v>16</v>
      </c>
      <c r="C13" s="15"/>
      <c r="D13" s="83">
        <v>225000</v>
      </c>
      <c r="E13" s="78">
        <f>D13+2000</f>
        <v>227000</v>
      </c>
      <c r="F13" s="78">
        <f t="shared" ref="F13:H13" si="9">E13+2000</f>
        <v>229000</v>
      </c>
      <c r="G13" s="78">
        <f t="shared" si="9"/>
        <v>231000</v>
      </c>
      <c r="H13" s="78">
        <f t="shared" si="9"/>
        <v>233000</v>
      </c>
      <c r="I13" s="78">
        <f>H13+1000</f>
        <v>234000</v>
      </c>
      <c r="J13" s="78">
        <f t="shared" ref="J13:O13" si="10">I13+1000</f>
        <v>235000</v>
      </c>
      <c r="K13" s="78">
        <f t="shared" si="10"/>
        <v>236000</v>
      </c>
      <c r="L13" s="78">
        <f t="shared" si="10"/>
        <v>237000</v>
      </c>
      <c r="M13" s="78">
        <f t="shared" si="10"/>
        <v>238000</v>
      </c>
      <c r="N13" s="78">
        <f t="shared" si="10"/>
        <v>239000</v>
      </c>
      <c r="O13" s="78">
        <f t="shared" si="10"/>
        <v>240000</v>
      </c>
      <c r="P13" s="80">
        <f>SUM(D13:O13)/12</f>
        <v>233666.66666666666</v>
      </c>
      <c r="Q13" s="84"/>
    </row>
    <row r="14" spans="1:18" ht="15.75">
      <c r="A14" s="5"/>
      <c r="B14" s="82" t="s">
        <v>17</v>
      </c>
      <c r="C14" s="13"/>
      <c r="D14" s="78">
        <f t="shared" ref="D14:O14" si="11">D12*D13</f>
        <v>348750000</v>
      </c>
      <c r="E14" s="78">
        <f t="shared" si="11"/>
        <v>342316000</v>
      </c>
      <c r="F14" s="78">
        <f t="shared" si="11"/>
        <v>383346000</v>
      </c>
      <c r="G14" s="78">
        <f t="shared" si="11"/>
        <v>388080000</v>
      </c>
      <c r="H14" s="78">
        <f t="shared" si="11"/>
        <v>418934000</v>
      </c>
      <c r="I14" s="78">
        <f t="shared" si="11"/>
        <v>414180000</v>
      </c>
      <c r="J14" s="78">
        <f t="shared" si="11"/>
        <v>437100000</v>
      </c>
      <c r="K14" s="78">
        <f t="shared" si="11"/>
        <v>446276000</v>
      </c>
      <c r="L14" s="78">
        <f t="shared" si="11"/>
        <v>440820000</v>
      </c>
      <c r="M14" s="78">
        <f t="shared" si="11"/>
        <v>464814000</v>
      </c>
      <c r="N14" s="78">
        <f t="shared" si="11"/>
        <v>458880000</v>
      </c>
      <c r="O14" s="78">
        <f t="shared" si="11"/>
        <v>483600000</v>
      </c>
      <c r="P14" s="80">
        <f>SUM(D14:O14)</f>
        <v>5027096000</v>
      </c>
      <c r="Q14" s="84"/>
      <c r="R14" s="198">
        <f>(P14/P5)*1.21</f>
        <v>16619634.31693989</v>
      </c>
    </row>
    <row r="15" spans="1:18" ht="15.75">
      <c r="A15" s="5"/>
      <c r="B15" s="82" t="s">
        <v>76</v>
      </c>
      <c r="C15" s="156">
        <v>0.1</v>
      </c>
      <c r="D15" s="127">
        <f t="shared" ref="D15:P15" si="12">-(D10+D14)*$C$15</f>
        <v>-258075000</v>
      </c>
      <c r="E15" s="127">
        <f t="shared" si="12"/>
        <v>-198661600</v>
      </c>
      <c r="F15" s="127">
        <f t="shared" si="12"/>
        <v>-218816600</v>
      </c>
      <c r="G15" s="127">
        <f t="shared" si="12"/>
        <v>-218088000</v>
      </c>
      <c r="H15" s="127">
        <f t="shared" si="12"/>
        <v>-231985400</v>
      </c>
      <c r="I15" s="127">
        <f t="shared" si="12"/>
        <v>-227740500</v>
      </c>
      <c r="J15" s="127">
        <f t="shared" si="12"/>
        <v>-238700000</v>
      </c>
      <c r="K15" s="127">
        <f t="shared" si="12"/>
        <v>-242089850</v>
      </c>
      <c r="L15" s="127">
        <f t="shared" si="12"/>
        <v>-237582000</v>
      </c>
      <c r="M15" s="127">
        <f t="shared" si="12"/>
        <v>-248934650</v>
      </c>
      <c r="N15" s="127">
        <f t="shared" si="12"/>
        <v>-244248000</v>
      </c>
      <c r="O15" s="127">
        <f t="shared" si="12"/>
        <v>-255866250</v>
      </c>
      <c r="P15" s="128">
        <f t="shared" si="12"/>
        <v>-2820787850</v>
      </c>
      <c r="Q15" s="84"/>
    </row>
    <row r="16" spans="1:18" ht="15.75">
      <c r="A16" s="5"/>
      <c r="B16" s="22" t="s">
        <v>18</v>
      </c>
      <c r="C16" s="155">
        <v>1</v>
      </c>
      <c r="D16" s="21">
        <f t="shared" ref="D16:O16" si="13">D10+D14+D15</f>
        <v>2322675000</v>
      </c>
      <c r="E16" s="21">
        <f t="shared" si="13"/>
        <v>1787954400</v>
      </c>
      <c r="F16" s="21">
        <f t="shared" si="13"/>
        <v>1969349400</v>
      </c>
      <c r="G16" s="21">
        <f t="shared" si="13"/>
        <v>1962792000</v>
      </c>
      <c r="H16" s="21">
        <f t="shared" si="13"/>
        <v>2087868600</v>
      </c>
      <c r="I16" s="21">
        <f t="shared" si="13"/>
        <v>2049664500</v>
      </c>
      <c r="J16" s="21">
        <f t="shared" si="13"/>
        <v>2148300000</v>
      </c>
      <c r="K16" s="21">
        <f t="shared" si="13"/>
        <v>2178808650</v>
      </c>
      <c r="L16" s="21">
        <f t="shared" si="13"/>
        <v>2138238000</v>
      </c>
      <c r="M16" s="21">
        <f t="shared" si="13"/>
        <v>2240411850</v>
      </c>
      <c r="N16" s="21">
        <f t="shared" si="13"/>
        <v>2198232000</v>
      </c>
      <c r="O16" s="21">
        <f t="shared" si="13"/>
        <v>2302796250</v>
      </c>
      <c r="P16" s="157">
        <f>SUM(D16:O16)</f>
        <v>25387090650</v>
      </c>
      <c r="Q16" s="2"/>
    </row>
    <row r="17" spans="1:17" ht="15.75">
      <c r="A17" s="5"/>
      <c r="B17" s="22" t="s">
        <v>95</v>
      </c>
      <c r="C17" s="155"/>
      <c r="D17" s="21">
        <f>D16</f>
        <v>2322675000</v>
      </c>
      <c r="E17" s="21">
        <f>E16+D17</f>
        <v>4110629400</v>
      </c>
      <c r="F17" s="21">
        <f t="shared" ref="F17:O17" si="14">F16+E17</f>
        <v>6079978800</v>
      </c>
      <c r="G17" s="21">
        <f t="shared" si="14"/>
        <v>8042770800</v>
      </c>
      <c r="H17" s="21">
        <f t="shared" si="14"/>
        <v>10130639400</v>
      </c>
      <c r="I17" s="21">
        <f t="shared" si="14"/>
        <v>12180303900</v>
      </c>
      <c r="J17" s="21">
        <f t="shared" si="14"/>
        <v>14328603900</v>
      </c>
      <c r="K17" s="21">
        <f t="shared" si="14"/>
        <v>16507412550</v>
      </c>
      <c r="L17" s="21">
        <f t="shared" si="14"/>
        <v>18645650550</v>
      </c>
      <c r="M17" s="21">
        <f t="shared" si="14"/>
        <v>20886062400</v>
      </c>
      <c r="N17" s="21">
        <f t="shared" si="14"/>
        <v>23084294400</v>
      </c>
      <c r="O17" s="21">
        <f t="shared" si="14"/>
        <v>25387090650</v>
      </c>
      <c r="P17" s="158">
        <v>0</v>
      </c>
      <c r="Q17" s="2"/>
    </row>
    <row r="18" spans="1:17" ht="15.75">
      <c r="A18" s="5"/>
      <c r="B18" s="24"/>
      <c r="C18" s="139"/>
      <c r="D18" s="91">
        <v>2275608309</v>
      </c>
      <c r="E18" s="91">
        <v>1638312957</v>
      </c>
      <c r="F18" s="91">
        <v>1776558894</v>
      </c>
      <c r="G18" s="159">
        <v>1861361139</v>
      </c>
      <c r="H18" s="87">
        <v>2234551583</v>
      </c>
      <c r="I18" s="87">
        <v>1974837816</v>
      </c>
      <c r="J18" s="87"/>
      <c r="K18" s="87"/>
      <c r="L18" s="87"/>
      <c r="M18" s="87"/>
      <c r="N18" s="87"/>
      <c r="O18" s="87"/>
      <c r="P18" s="88">
        <f>SUM(D18:O18)</f>
        <v>11761230698</v>
      </c>
      <c r="Q18" s="2"/>
    </row>
    <row r="19" spans="1:17" ht="15.75">
      <c r="A19" s="5"/>
      <c r="B19" s="24"/>
      <c r="C19" s="139"/>
      <c r="D19" s="87">
        <f>D18</f>
        <v>2275608309</v>
      </c>
      <c r="E19" s="87">
        <f>D19+E18</f>
        <v>3913921266</v>
      </c>
      <c r="F19" s="87">
        <f>E19+F18</f>
        <v>5690480160</v>
      </c>
      <c r="G19" s="87">
        <f t="shared" ref="G19:O19" si="15">F19+G18</f>
        <v>7551841299</v>
      </c>
      <c r="H19" s="87">
        <f t="shared" si="15"/>
        <v>9786392882</v>
      </c>
      <c r="I19" s="87">
        <f t="shared" si="15"/>
        <v>11761230698</v>
      </c>
      <c r="J19" s="87">
        <f t="shared" si="15"/>
        <v>11761230698</v>
      </c>
      <c r="K19" s="87">
        <f t="shared" si="15"/>
        <v>11761230698</v>
      </c>
      <c r="L19" s="87">
        <f t="shared" si="15"/>
        <v>11761230698</v>
      </c>
      <c r="M19" s="87">
        <f t="shared" si="15"/>
        <v>11761230698</v>
      </c>
      <c r="N19" s="87">
        <f t="shared" si="15"/>
        <v>11761230698</v>
      </c>
      <c r="O19" s="87">
        <f t="shared" si="15"/>
        <v>11761230698</v>
      </c>
      <c r="P19" s="88">
        <v>0</v>
      </c>
      <c r="Q19" s="2"/>
    </row>
    <row r="20" spans="1:17" ht="15.75">
      <c r="A20" s="5"/>
      <c r="B20" s="22" t="s">
        <v>56</v>
      </c>
      <c r="C20" s="23"/>
      <c r="D20" s="21">
        <f t="shared" ref="D20:P20" si="16">D28/D5</f>
        <v>90659250</v>
      </c>
      <c r="E20" s="21">
        <f t="shared" si="16"/>
        <v>74600856</v>
      </c>
      <c r="F20" s="21">
        <f t="shared" si="16"/>
        <v>76868154</v>
      </c>
      <c r="G20" s="21">
        <f t="shared" si="16"/>
        <v>79165944</v>
      </c>
      <c r="H20" s="21">
        <f t="shared" si="16"/>
        <v>81494226</v>
      </c>
      <c r="I20" s="21">
        <f t="shared" si="16"/>
        <v>82669801.5</v>
      </c>
      <c r="J20" s="21">
        <f t="shared" si="16"/>
        <v>83853000</v>
      </c>
      <c r="K20" s="21">
        <f t="shared" si="16"/>
        <v>85043821.5</v>
      </c>
      <c r="L20" s="21">
        <f t="shared" si="16"/>
        <v>86242266</v>
      </c>
      <c r="M20" s="21">
        <f t="shared" si="16"/>
        <v>87448333.5</v>
      </c>
      <c r="N20" s="21">
        <f t="shared" si="16"/>
        <v>88662024</v>
      </c>
      <c r="O20" s="21">
        <f t="shared" si="16"/>
        <v>89883337.5</v>
      </c>
      <c r="P20" s="23">
        <f t="shared" si="16"/>
        <v>83929999.143442616</v>
      </c>
      <c r="Q20" s="2"/>
    </row>
    <row r="21" spans="1:17" ht="15.75">
      <c r="A21" s="5"/>
      <c r="B21" s="24" t="s">
        <v>56</v>
      </c>
      <c r="C21" s="140"/>
      <c r="D21" s="87">
        <f t="shared" ref="D21:I21" si="17">D30/D5</f>
        <v>86787722.387096778</v>
      </c>
      <c r="E21" s="87">
        <f t="shared" si="17"/>
        <v>70797380.758620694</v>
      </c>
      <c r="F21" s="87">
        <f t="shared" si="17"/>
        <v>69240902.32258065</v>
      </c>
      <c r="G21" s="87">
        <f t="shared" si="17"/>
        <v>75574079.466666669</v>
      </c>
      <c r="H21" s="87">
        <f t="shared" si="17"/>
        <v>84535695.451612905</v>
      </c>
      <c r="I21" s="87">
        <f t="shared" si="17"/>
        <v>77166271</v>
      </c>
      <c r="J21" s="87"/>
      <c r="K21" s="87"/>
      <c r="L21" s="87"/>
      <c r="M21" s="87"/>
      <c r="N21" s="87"/>
      <c r="O21" s="87"/>
      <c r="P21" s="88"/>
      <c r="Q21" s="2"/>
    </row>
    <row r="22" spans="1:17" ht="16.5" thickBot="1">
      <c r="A22" s="5"/>
      <c r="B22" s="22" t="s">
        <v>20</v>
      </c>
      <c r="C22" s="23"/>
      <c r="D22" s="21">
        <f t="shared" ref="D22:P22" si="18">D8+D12</f>
        <v>7130</v>
      </c>
      <c r="E22" s="21">
        <f t="shared" si="18"/>
        <v>5568</v>
      </c>
      <c r="F22" s="21">
        <f t="shared" si="18"/>
        <v>6076</v>
      </c>
      <c r="G22" s="21">
        <f t="shared" si="18"/>
        <v>6000</v>
      </c>
      <c r="H22" s="21">
        <f t="shared" si="18"/>
        <v>6324</v>
      </c>
      <c r="I22" s="21">
        <f t="shared" si="18"/>
        <v>6180</v>
      </c>
      <c r="J22" s="21">
        <f t="shared" si="18"/>
        <v>6448</v>
      </c>
      <c r="K22" s="21">
        <f t="shared" si="18"/>
        <v>6510</v>
      </c>
      <c r="L22" s="21">
        <f t="shared" si="18"/>
        <v>6360</v>
      </c>
      <c r="M22" s="21">
        <f t="shared" si="18"/>
        <v>6634</v>
      </c>
      <c r="N22" s="21">
        <f t="shared" si="18"/>
        <v>6480</v>
      </c>
      <c r="O22" s="21">
        <f t="shared" si="18"/>
        <v>6758</v>
      </c>
      <c r="P22" s="23">
        <f t="shared" si="18"/>
        <v>76468</v>
      </c>
      <c r="Q22" s="2"/>
    </row>
    <row r="23" spans="1:17" ht="16.5" thickTop="1">
      <c r="A23" s="5"/>
      <c r="B23" s="24" t="s">
        <v>21</v>
      </c>
      <c r="C23" s="88"/>
      <c r="D23" s="86">
        <v>5559</v>
      </c>
      <c r="E23" s="87">
        <v>4045</v>
      </c>
      <c r="F23" s="87">
        <v>4037</v>
      </c>
      <c r="G23" s="87">
        <v>4526</v>
      </c>
      <c r="H23" s="87">
        <v>4817</v>
      </c>
      <c r="I23" s="87">
        <f>2909+1483</f>
        <v>4392</v>
      </c>
      <c r="J23" s="87"/>
      <c r="K23" s="87"/>
      <c r="L23" s="87"/>
      <c r="M23" s="87"/>
      <c r="N23" s="87"/>
      <c r="O23" s="87"/>
      <c r="P23" s="89">
        <f>SUM(D23:O23)</f>
        <v>27376</v>
      </c>
      <c r="Q23" s="2"/>
    </row>
    <row r="24" spans="1:17" ht="15.75">
      <c r="A24" s="5"/>
      <c r="B24" s="22" t="s">
        <v>72</v>
      </c>
      <c r="C24" s="23"/>
      <c r="D24" s="25">
        <f>D28/D22</f>
        <v>394170.65217391303</v>
      </c>
      <c r="E24" s="21">
        <f t="shared" ref="E24:P24" si="19">E28/E22</f>
        <v>388546.125</v>
      </c>
      <c r="F24" s="21">
        <f t="shared" si="19"/>
        <v>392184.45918367349</v>
      </c>
      <c r="G24" s="21">
        <f t="shared" si="19"/>
        <v>395829.72</v>
      </c>
      <c r="H24" s="21">
        <f t="shared" si="19"/>
        <v>399481.5</v>
      </c>
      <c r="I24" s="21">
        <f t="shared" si="19"/>
        <v>401309.71601941745</v>
      </c>
      <c r="J24" s="21">
        <f t="shared" si="19"/>
        <v>403139.42307692306</v>
      </c>
      <c r="K24" s="21">
        <f t="shared" si="19"/>
        <v>404970.57857142854</v>
      </c>
      <c r="L24" s="21">
        <f t="shared" si="19"/>
        <v>406803.14150943398</v>
      </c>
      <c r="M24" s="21">
        <f t="shared" si="19"/>
        <v>408637.07242990652</v>
      </c>
      <c r="N24" s="21">
        <f t="shared" si="19"/>
        <v>410472.33333333331</v>
      </c>
      <c r="O24" s="21">
        <f t="shared" si="19"/>
        <v>412308.88761467888</v>
      </c>
      <c r="P24" s="23">
        <f t="shared" si="19"/>
        <v>401715.48473217554</v>
      </c>
      <c r="Q24" s="2"/>
    </row>
    <row r="25" spans="1:17" ht="15.75">
      <c r="A25" s="5"/>
      <c r="B25" s="24" t="s">
        <v>100</v>
      </c>
      <c r="C25" s="88"/>
      <c r="D25" s="86">
        <f t="shared" ref="D25:F25" si="20">D30/D23</f>
        <v>483975.42615578341</v>
      </c>
      <c r="E25" s="87">
        <f t="shared" si="20"/>
        <v>507570.83856613102</v>
      </c>
      <c r="F25" s="87">
        <f t="shared" si="20"/>
        <v>531698.77929155319</v>
      </c>
      <c r="G25" s="87">
        <f>G30/G23</f>
        <v>500932.91736632789</v>
      </c>
      <c r="H25" s="87">
        <f>H30/H23</f>
        <v>544032.9165455678</v>
      </c>
      <c r="I25" s="87">
        <f>I30/I23</f>
        <v>527092.01502732246</v>
      </c>
      <c r="J25" s="87"/>
      <c r="K25" s="87"/>
      <c r="L25" s="87"/>
      <c r="M25" s="87"/>
      <c r="N25" s="87"/>
      <c r="O25" s="87"/>
      <c r="P25" s="88"/>
      <c r="Q25" s="2"/>
    </row>
    <row r="26" spans="1:17" ht="16.5" thickBot="1">
      <c r="A26" s="5"/>
      <c r="B26" s="22" t="s">
        <v>23</v>
      </c>
      <c r="C26" s="155">
        <v>0.21</v>
      </c>
      <c r="D26" s="25">
        <f>D16*$C$26</f>
        <v>487761750</v>
      </c>
      <c r="E26" s="21">
        <f t="shared" ref="E26:P26" si="21">E16*$C$26</f>
        <v>375470424</v>
      </c>
      <c r="F26" s="21">
        <f t="shared" si="21"/>
        <v>413563374</v>
      </c>
      <c r="G26" s="21">
        <f t="shared" si="21"/>
        <v>412186320</v>
      </c>
      <c r="H26" s="21">
        <f t="shared" si="21"/>
        <v>438452406</v>
      </c>
      <c r="I26" s="21">
        <f t="shared" si="21"/>
        <v>430429545</v>
      </c>
      <c r="J26" s="21">
        <f t="shared" si="21"/>
        <v>451143000</v>
      </c>
      <c r="K26" s="21">
        <f t="shared" si="21"/>
        <v>457549816.5</v>
      </c>
      <c r="L26" s="21">
        <f t="shared" si="21"/>
        <v>449029980</v>
      </c>
      <c r="M26" s="21">
        <f t="shared" si="21"/>
        <v>470486488.5</v>
      </c>
      <c r="N26" s="21">
        <f t="shared" si="21"/>
        <v>461628720</v>
      </c>
      <c r="O26" s="21">
        <f t="shared" si="21"/>
        <v>483587212.5</v>
      </c>
      <c r="P26" s="23">
        <f t="shared" si="21"/>
        <v>5331289036.5</v>
      </c>
      <c r="Q26" s="2"/>
    </row>
    <row r="27" spans="1:17" ht="16.5" thickTop="1">
      <c r="A27" s="5"/>
      <c r="B27" s="22" t="s">
        <v>23</v>
      </c>
      <c r="C27" s="110"/>
      <c r="D27" s="90">
        <f>164049566+250761519</f>
        <v>414811085</v>
      </c>
      <c r="E27" s="91">
        <f t="shared" ref="E27" si="22">164049566+250761519</f>
        <v>414811085</v>
      </c>
      <c r="F27" s="91">
        <f>146291710+223617368</f>
        <v>369909078</v>
      </c>
      <c r="G27" s="91">
        <v>405861245</v>
      </c>
      <c r="H27" s="91">
        <v>386054976</v>
      </c>
      <c r="I27" s="91">
        <f>134522723+205627591</f>
        <v>340150314</v>
      </c>
      <c r="J27" s="91"/>
      <c r="K27" s="91"/>
      <c r="L27" s="91"/>
      <c r="M27" s="91"/>
      <c r="N27" s="91"/>
      <c r="O27" s="91"/>
      <c r="P27" s="89"/>
      <c r="Q27" s="2"/>
    </row>
    <row r="28" spans="1:17" ht="16.5" thickBot="1">
      <c r="A28" s="5"/>
      <c r="B28" s="27" t="s">
        <v>71</v>
      </c>
      <c r="C28" s="160"/>
      <c r="D28" s="28">
        <f t="shared" ref="D28:P28" si="23">D16+D26</f>
        <v>2810436750</v>
      </c>
      <c r="E28" s="29">
        <f t="shared" si="23"/>
        <v>2163424824</v>
      </c>
      <c r="F28" s="29">
        <f t="shared" si="23"/>
        <v>2382912774</v>
      </c>
      <c r="G28" s="29">
        <f t="shared" si="23"/>
        <v>2374978320</v>
      </c>
      <c r="H28" s="29">
        <f t="shared" si="23"/>
        <v>2526321006</v>
      </c>
      <c r="I28" s="29">
        <f t="shared" si="23"/>
        <v>2480094045</v>
      </c>
      <c r="J28" s="29">
        <f t="shared" si="23"/>
        <v>2599443000</v>
      </c>
      <c r="K28" s="29">
        <f t="shared" si="23"/>
        <v>2636358466.5</v>
      </c>
      <c r="L28" s="29">
        <f t="shared" si="23"/>
        <v>2587267980</v>
      </c>
      <c r="M28" s="29">
        <f t="shared" si="23"/>
        <v>2710898338.5</v>
      </c>
      <c r="N28" s="29">
        <f>N16+N26</f>
        <v>2659860720</v>
      </c>
      <c r="O28" s="29">
        <f t="shared" si="23"/>
        <v>2786383462.5</v>
      </c>
      <c r="P28" s="30">
        <f t="shared" si="23"/>
        <v>30718379686.5</v>
      </c>
      <c r="Q28" s="2"/>
    </row>
    <row r="29" spans="1:17" ht="17.25" thickTop="1" thickBot="1">
      <c r="A29" s="5"/>
      <c r="B29" s="27"/>
      <c r="C29" s="160"/>
      <c r="D29" s="28">
        <f>D28</f>
        <v>2810436750</v>
      </c>
      <c r="E29" s="29">
        <f>D29+E28</f>
        <v>4973861574</v>
      </c>
      <c r="F29" s="29">
        <f t="shared" ref="F29:G29" si="24">E29+F28</f>
        <v>7356774348</v>
      </c>
      <c r="G29" s="29">
        <f t="shared" si="24"/>
        <v>9731752668</v>
      </c>
      <c r="H29" s="29">
        <f t="shared" ref="H29" si="25">G29+H28</f>
        <v>12258073674</v>
      </c>
      <c r="I29" s="29">
        <f t="shared" ref="I29" si="26">H29+I28</f>
        <v>14738167719</v>
      </c>
      <c r="J29" s="29">
        <f t="shared" ref="J29" si="27">I29+J28</f>
        <v>17337610719</v>
      </c>
      <c r="K29" s="29">
        <f t="shared" ref="K29" si="28">J29+K28</f>
        <v>19973969185.5</v>
      </c>
      <c r="L29" s="29">
        <f t="shared" ref="L29" si="29">K29+L28</f>
        <v>22561237165.5</v>
      </c>
      <c r="M29" s="29">
        <f t="shared" ref="M29" si="30">L29+M28</f>
        <v>25272135504</v>
      </c>
      <c r="N29" s="29">
        <f t="shared" ref="N29" si="31">M29+N28</f>
        <v>27931996224</v>
      </c>
      <c r="O29" s="29">
        <f t="shared" ref="O29" si="32">N29+O28</f>
        <v>30718379686.5</v>
      </c>
      <c r="P29" s="95"/>
      <c r="Q29" s="2"/>
    </row>
    <row r="30" spans="1:17" ht="17.25" thickTop="1" thickBot="1">
      <c r="A30" s="5"/>
      <c r="B30" s="27" t="s">
        <v>70</v>
      </c>
      <c r="C30" s="142"/>
      <c r="D30" s="92">
        <f>D18+D27</f>
        <v>2690419394</v>
      </c>
      <c r="E30" s="93">
        <f t="shared" ref="E30:I30" si="33">E18+E27</f>
        <v>2053124042</v>
      </c>
      <c r="F30" s="93">
        <f t="shared" si="33"/>
        <v>2146467972</v>
      </c>
      <c r="G30" s="93">
        <f t="shared" si="33"/>
        <v>2267222384</v>
      </c>
      <c r="H30" s="93">
        <f t="shared" si="33"/>
        <v>2620606559</v>
      </c>
      <c r="I30" s="93">
        <f t="shared" si="33"/>
        <v>2314988130</v>
      </c>
      <c r="J30" s="93"/>
      <c r="K30" s="93"/>
      <c r="L30" s="93"/>
      <c r="M30" s="93"/>
      <c r="N30" s="93"/>
      <c r="O30" s="93"/>
      <c r="P30" s="161"/>
      <c r="Q30" s="2"/>
    </row>
    <row r="31" spans="1:17" ht="17.25" thickTop="1" thickBot="1">
      <c r="A31" s="5"/>
      <c r="B31" s="27"/>
      <c r="C31" s="141"/>
      <c r="D31" s="101">
        <f>D30</f>
        <v>2690419394</v>
      </c>
      <c r="E31" s="85">
        <f>D31+E30</f>
        <v>4743543436</v>
      </c>
      <c r="F31" s="85">
        <f t="shared" ref="F31:I31" si="34">E31+F30</f>
        <v>6890011408</v>
      </c>
      <c r="G31" s="85">
        <f t="shared" si="34"/>
        <v>9157233792</v>
      </c>
      <c r="H31" s="85">
        <f t="shared" si="34"/>
        <v>11777840351</v>
      </c>
      <c r="I31" s="85">
        <f t="shared" si="34"/>
        <v>14092828481</v>
      </c>
      <c r="J31" s="85"/>
      <c r="K31" s="85"/>
      <c r="L31" s="85"/>
      <c r="M31" s="85"/>
      <c r="N31" s="85"/>
      <c r="O31" s="85"/>
      <c r="P31" s="102"/>
      <c r="Q31" s="2"/>
    </row>
    <row r="32" spans="1:17" ht="16.5" thickTop="1">
      <c r="A32" s="5"/>
      <c r="B32" s="31" t="s">
        <v>25</v>
      </c>
      <c r="C32" s="106"/>
      <c r="D32" s="13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48"/>
      <c r="Q32" s="2"/>
    </row>
    <row r="33" spans="1:17" ht="15.75">
      <c r="A33" s="5"/>
      <c r="B33" s="33" t="s">
        <v>26</v>
      </c>
      <c r="C33" s="106">
        <v>0.26</v>
      </c>
      <c r="D33" s="13">
        <f>D16*$C$33</f>
        <v>603895500</v>
      </c>
      <c r="E33" s="16">
        <f t="shared" ref="E33:P33" si="35">E16*$C$33</f>
        <v>464868144</v>
      </c>
      <c r="F33" s="16">
        <f t="shared" si="35"/>
        <v>512030844</v>
      </c>
      <c r="G33" s="16">
        <f t="shared" si="35"/>
        <v>510325920</v>
      </c>
      <c r="H33" s="16">
        <f t="shared" si="35"/>
        <v>542845836</v>
      </c>
      <c r="I33" s="16">
        <f t="shared" si="35"/>
        <v>532912770</v>
      </c>
      <c r="J33" s="16">
        <f t="shared" si="35"/>
        <v>558558000</v>
      </c>
      <c r="K33" s="16">
        <f t="shared" si="35"/>
        <v>566490249</v>
      </c>
      <c r="L33" s="16">
        <f t="shared" si="35"/>
        <v>555941880</v>
      </c>
      <c r="M33" s="16">
        <f t="shared" si="35"/>
        <v>582507081</v>
      </c>
      <c r="N33" s="16">
        <f t="shared" si="35"/>
        <v>571540320</v>
      </c>
      <c r="O33" s="16">
        <f t="shared" si="35"/>
        <v>598727025</v>
      </c>
      <c r="P33" s="34">
        <f t="shared" si="35"/>
        <v>6600643569</v>
      </c>
      <c r="Q33" s="2"/>
    </row>
    <row r="34" spans="1:17" ht="15.75">
      <c r="A34" s="5"/>
      <c r="B34" s="35" t="s">
        <v>27</v>
      </c>
      <c r="C34" s="106">
        <v>0.28000000000000003</v>
      </c>
      <c r="D34" s="13">
        <f t="shared" ref="D34:P34" si="36">(D14*0.5)*$C$34</f>
        <v>48825000.000000007</v>
      </c>
      <c r="E34" s="16">
        <f t="shared" si="36"/>
        <v>47924240.000000007</v>
      </c>
      <c r="F34" s="16">
        <f t="shared" si="36"/>
        <v>53668440.000000007</v>
      </c>
      <c r="G34" s="16">
        <f t="shared" si="36"/>
        <v>54331200.000000007</v>
      </c>
      <c r="H34" s="16">
        <f t="shared" si="36"/>
        <v>58650760.000000007</v>
      </c>
      <c r="I34" s="16">
        <f t="shared" si="36"/>
        <v>57985200.000000007</v>
      </c>
      <c r="J34" s="16">
        <f t="shared" si="36"/>
        <v>61194000.000000007</v>
      </c>
      <c r="K34" s="16">
        <f t="shared" si="36"/>
        <v>62478640.000000007</v>
      </c>
      <c r="L34" s="16">
        <f t="shared" si="36"/>
        <v>61714800.000000007</v>
      </c>
      <c r="M34" s="16">
        <f t="shared" si="36"/>
        <v>65073960.000000007</v>
      </c>
      <c r="N34" s="16">
        <f t="shared" si="36"/>
        <v>64243200.000000007</v>
      </c>
      <c r="O34" s="16">
        <f t="shared" si="36"/>
        <v>67704000</v>
      </c>
      <c r="P34" s="34">
        <f t="shared" si="36"/>
        <v>703793440.00000012</v>
      </c>
      <c r="Q34" s="2"/>
    </row>
    <row r="35" spans="1:17" ht="15.75">
      <c r="A35" s="5"/>
      <c r="B35" s="35" t="s">
        <v>28</v>
      </c>
      <c r="C35" s="106">
        <v>2.5000000000000001E-2</v>
      </c>
      <c r="D35" s="13">
        <f>D16*$C$35</f>
        <v>58066875</v>
      </c>
      <c r="E35" s="16">
        <f t="shared" ref="E35:P35" si="37">E16*$C$35</f>
        <v>44698860</v>
      </c>
      <c r="F35" s="16">
        <f t="shared" si="37"/>
        <v>49233735</v>
      </c>
      <c r="G35" s="16">
        <f t="shared" si="37"/>
        <v>49069800</v>
      </c>
      <c r="H35" s="16">
        <f t="shared" si="37"/>
        <v>52196715</v>
      </c>
      <c r="I35" s="16">
        <f t="shared" si="37"/>
        <v>51241612.5</v>
      </c>
      <c r="J35" s="16">
        <f t="shared" si="37"/>
        <v>53707500</v>
      </c>
      <c r="K35" s="16">
        <f t="shared" si="37"/>
        <v>54470216.25</v>
      </c>
      <c r="L35" s="16">
        <f t="shared" si="37"/>
        <v>53455950</v>
      </c>
      <c r="M35" s="16">
        <f t="shared" si="37"/>
        <v>56010296.25</v>
      </c>
      <c r="N35" s="16">
        <f t="shared" si="37"/>
        <v>54955800</v>
      </c>
      <c r="O35" s="16">
        <f t="shared" si="37"/>
        <v>57569906.25</v>
      </c>
      <c r="P35" s="34">
        <f t="shared" si="37"/>
        <v>634677266.25</v>
      </c>
      <c r="Q35" s="2"/>
    </row>
    <row r="36" spans="1:17" ht="15.75">
      <c r="A36" s="5"/>
      <c r="B36" s="35" t="s">
        <v>96</v>
      </c>
      <c r="C36" s="106">
        <v>0.1</v>
      </c>
      <c r="D36" s="13">
        <f>D16*$C$36</f>
        <v>232267500</v>
      </c>
      <c r="E36" s="16">
        <f t="shared" ref="E36:P36" si="38">E16*$C$36</f>
        <v>178795440</v>
      </c>
      <c r="F36" s="16">
        <f t="shared" si="38"/>
        <v>196934940</v>
      </c>
      <c r="G36" s="16">
        <f t="shared" si="38"/>
        <v>196279200</v>
      </c>
      <c r="H36" s="16">
        <f t="shared" si="38"/>
        <v>208786860</v>
      </c>
      <c r="I36" s="16">
        <f t="shared" si="38"/>
        <v>204966450</v>
      </c>
      <c r="J36" s="16">
        <f t="shared" si="38"/>
        <v>214830000</v>
      </c>
      <c r="K36" s="16">
        <f t="shared" si="38"/>
        <v>217880865</v>
      </c>
      <c r="L36" s="16">
        <f t="shared" si="38"/>
        <v>213823800</v>
      </c>
      <c r="M36" s="16">
        <f t="shared" si="38"/>
        <v>224041185</v>
      </c>
      <c r="N36" s="16">
        <f t="shared" si="38"/>
        <v>219823200</v>
      </c>
      <c r="O36" s="16">
        <f t="shared" si="38"/>
        <v>230279625</v>
      </c>
      <c r="P36" s="34">
        <f t="shared" si="38"/>
        <v>2538709065</v>
      </c>
      <c r="Q36" s="2"/>
    </row>
    <row r="37" spans="1:17" ht="15.75">
      <c r="A37" s="5"/>
      <c r="B37" s="194" t="s">
        <v>111</v>
      </c>
      <c r="C37" s="106">
        <v>1.2500000000000001E-2</v>
      </c>
      <c r="D37" s="13">
        <f>D16*$C$37</f>
        <v>29033437.5</v>
      </c>
      <c r="E37" s="13">
        <f t="shared" ref="E37:O37" si="39">E16*$C$37</f>
        <v>22349430</v>
      </c>
      <c r="F37" s="13">
        <f t="shared" si="39"/>
        <v>24616867.5</v>
      </c>
      <c r="G37" s="13">
        <f t="shared" si="39"/>
        <v>24534900</v>
      </c>
      <c r="H37" s="13">
        <f t="shared" si="39"/>
        <v>26098357.5</v>
      </c>
      <c r="I37" s="13">
        <f t="shared" si="39"/>
        <v>25620806.25</v>
      </c>
      <c r="J37" s="13">
        <f t="shared" si="39"/>
        <v>26853750</v>
      </c>
      <c r="K37" s="13">
        <f t="shared" si="39"/>
        <v>27235108.125</v>
      </c>
      <c r="L37" s="13">
        <f t="shared" si="39"/>
        <v>26727975</v>
      </c>
      <c r="M37" s="13">
        <f t="shared" si="39"/>
        <v>28005148.125</v>
      </c>
      <c r="N37" s="13">
        <f t="shared" si="39"/>
        <v>27477900</v>
      </c>
      <c r="O37" s="13">
        <f t="shared" si="39"/>
        <v>28784953.125</v>
      </c>
      <c r="P37" s="34">
        <f>SUM(D37:O37)</f>
        <v>317338633.125</v>
      </c>
      <c r="Q37" s="2"/>
    </row>
    <row r="38" spans="1:17" ht="16.5" thickBot="1">
      <c r="A38" s="5"/>
      <c r="B38" s="36" t="s">
        <v>29</v>
      </c>
      <c r="C38" s="108"/>
      <c r="D38" s="37">
        <f>SUM(D33:D37)</f>
        <v>972088312.5</v>
      </c>
      <c r="E38" s="37">
        <f t="shared" ref="E38:P38" si="40">SUM(E33:E37)</f>
        <v>758636114</v>
      </c>
      <c r="F38" s="37">
        <f t="shared" si="40"/>
        <v>836484826.5</v>
      </c>
      <c r="G38" s="37">
        <f t="shared" si="40"/>
        <v>834541020</v>
      </c>
      <c r="H38" s="37">
        <f t="shared" si="40"/>
        <v>888578528.5</v>
      </c>
      <c r="I38" s="37">
        <f t="shared" si="40"/>
        <v>872726838.75</v>
      </c>
      <c r="J38" s="37">
        <f t="shared" si="40"/>
        <v>915143250</v>
      </c>
      <c r="K38" s="37">
        <f t="shared" si="40"/>
        <v>928555078.375</v>
      </c>
      <c r="L38" s="37">
        <f t="shared" si="40"/>
        <v>911664405</v>
      </c>
      <c r="M38" s="37">
        <f t="shared" si="40"/>
        <v>955637670.375</v>
      </c>
      <c r="N38" s="37">
        <f t="shared" si="40"/>
        <v>938040420</v>
      </c>
      <c r="O38" s="37">
        <f t="shared" si="40"/>
        <v>983065509.375</v>
      </c>
      <c r="P38" s="37">
        <f t="shared" si="40"/>
        <v>10795161973.375</v>
      </c>
      <c r="Q38" s="2"/>
    </row>
    <row r="39" spans="1:17" ht="16.5" thickTop="1">
      <c r="A39" s="5"/>
      <c r="B39" s="39" t="s">
        <v>30</v>
      </c>
      <c r="C39" s="181"/>
      <c r="D39" s="40">
        <f t="shared" ref="D39:P39" si="41">D16-D38</f>
        <v>1350586687.5</v>
      </c>
      <c r="E39" s="40">
        <f t="shared" si="41"/>
        <v>1029318286</v>
      </c>
      <c r="F39" s="40">
        <f t="shared" si="41"/>
        <v>1132864573.5</v>
      </c>
      <c r="G39" s="40">
        <f t="shared" si="41"/>
        <v>1128250980</v>
      </c>
      <c r="H39" s="40">
        <f t="shared" si="41"/>
        <v>1199290071.5</v>
      </c>
      <c r="I39" s="40">
        <f t="shared" si="41"/>
        <v>1176937661.25</v>
      </c>
      <c r="J39" s="40">
        <f t="shared" si="41"/>
        <v>1233156750</v>
      </c>
      <c r="K39" s="40">
        <f t="shared" si="41"/>
        <v>1250253571.625</v>
      </c>
      <c r="L39" s="40">
        <f t="shared" si="41"/>
        <v>1226573595</v>
      </c>
      <c r="M39" s="40">
        <f t="shared" si="41"/>
        <v>1284774179.625</v>
      </c>
      <c r="N39" s="40">
        <f t="shared" si="41"/>
        <v>1260191580</v>
      </c>
      <c r="O39" s="40">
        <f t="shared" si="41"/>
        <v>1319730740.625</v>
      </c>
      <c r="P39" s="41">
        <f t="shared" si="41"/>
        <v>14591928676.625</v>
      </c>
      <c r="Q39" s="2"/>
    </row>
    <row r="40" spans="1:17" ht="16.5" thickBot="1">
      <c r="A40" s="5"/>
      <c r="B40" s="42" t="s">
        <v>31</v>
      </c>
      <c r="C40" s="43">
        <v>0.57999999999999996</v>
      </c>
      <c r="D40" s="44">
        <f t="shared" ref="D40:P40" si="42">D39/D16</f>
        <v>0.58147897897897893</v>
      </c>
      <c r="E40" s="45">
        <f t="shared" si="42"/>
        <v>0.57569605019009429</v>
      </c>
      <c r="F40" s="45">
        <f t="shared" si="42"/>
        <v>0.57524813702433908</v>
      </c>
      <c r="G40" s="45">
        <f t="shared" si="42"/>
        <v>0.57481943068852936</v>
      </c>
      <c r="H40" s="45">
        <f t="shared" si="42"/>
        <v>0.57440878774650861</v>
      </c>
      <c r="I40" s="45">
        <f t="shared" si="42"/>
        <v>0.57420990667009164</v>
      </c>
      <c r="J40" s="45">
        <f t="shared" si="42"/>
        <v>0.57401515151515148</v>
      </c>
      <c r="K40" s="45">
        <f t="shared" si="42"/>
        <v>0.57382440244350963</v>
      </c>
      <c r="L40" s="45">
        <f t="shared" si="42"/>
        <v>0.57363754409004053</v>
      </c>
      <c r="M40" s="45">
        <f t="shared" si="42"/>
        <v>0.5734544653586795</v>
      </c>
      <c r="N40" s="45">
        <f t="shared" si="42"/>
        <v>0.57327505922941713</v>
      </c>
      <c r="O40" s="45">
        <f t="shared" si="42"/>
        <v>0.57309922257559698</v>
      </c>
      <c r="P40" s="43">
        <f t="shared" si="42"/>
        <v>0.57477750711167053</v>
      </c>
      <c r="Q40" s="2"/>
    </row>
    <row r="41" spans="1:17" ht="16.5" thickTop="1">
      <c r="A41" s="5"/>
      <c r="B41" s="39"/>
      <c r="C41" s="181"/>
      <c r="D41" s="96">
        <v>933177388</v>
      </c>
      <c r="E41" s="137">
        <v>796019908</v>
      </c>
      <c r="F41" s="137">
        <v>811839642</v>
      </c>
      <c r="G41" s="137">
        <v>709659960</v>
      </c>
      <c r="H41" s="137">
        <f>868619170+51552879</f>
        <v>920172049</v>
      </c>
      <c r="I41" s="137"/>
      <c r="J41" s="137"/>
      <c r="K41" s="137"/>
      <c r="L41" s="137"/>
      <c r="M41" s="137"/>
      <c r="N41" s="137"/>
      <c r="O41" s="137"/>
      <c r="P41" s="97"/>
      <c r="Q41" s="2"/>
    </row>
    <row r="42" spans="1:17" ht="16.5" thickBot="1">
      <c r="A42" s="5"/>
      <c r="B42" s="94"/>
      <c r="C42" s="182"/>
      <c r="D42" s="187">
        <f>D41/D18</f>
        <v>0.41007821262969379</v>
      </c>
      <c r="E42" s="187">
        <f t="shared" ref="E42:H42" si="43">E41/E18</f>
        <v>0.48587780777711326</v>
      </c>
      <c r="F42" s="187">
        <f t="shared" si="43"/>
        <v>0.45697310949940284</v>
      </c>
      <c r="G42" s="187">
        <f t="shared" si="43"/>
        <v>0.38125860969744896</v>
      </c>
      <c r="H42" s="187">
        <f t="shared" si="43"/>
        <v>0.41179270865818274</v>
      </c>
      <c r="I42" s="188"/>
      <c r="J42" s="188"/>
      <c r="K42" s="188"/>
      <c r="L42" s="188"/>
      <c r="M42" s="188"/>
      <c r="N42" s="188"/>
      <c r="O42" s="188"/>
      <c r="P42" s="189"/>
      <c r="Q42" s="2"/>
    </row>
    <row r="43" spans="1:17" ht="16.5" thickTop="1">
      <c r="A43" s="5"/>
      <c r="B43" s="39"/>
      <c r="C43" s="181"/>
      <c r="D43" s="96">
        <f>D18-D41</f>
        <v>1342430921</v>
      </c>
      <c r="E43" s="137">
        <f t="shared" ref="E43:O43" si="44">E18-E41</f>
        <v>842293049</v>
      </c>
      <c r="F43" s="137">
        <f t="shared" si="44"/>
        <v>964719252</v>
      </c>
      <c r="G43" s="137">
        <f t="shared" si="44"/>
        <v>1151701179</v>
      </c>
      <c r="H43" s="137">
        <f t="shared" si="44"/>
        <v>1314379534</v>
      </c>
      <c r="I43" s="137">
        <f t="shared" si="44"/>
        <v>1974837816</v>
      </c>
      <c r="J43" s="137">
        <f t="shared" si="44"/>
        <v>0</v>
      </c>
      <c r="K43" s="137">
        <f t="shared" si="44"/>
        <v>0</v>
      </c>
      <c r="L43" s="137">
        <f t="shared" si="44"/>
        <v>0</v>
      </c>
      <c r="M43" s="137">
        <f t="shared" si="44"/>
        <v>0</v>
      </c>
      <c r="N43" s="137">
        <f t="shared" si="44"/>
        <v>0</v>
      </c>
      <c r="O43" s="137">
        <f t="shared" si="44"/>
        <v>0</v>
      </c>
      <c r="P43" s="97"/>
      <c r="Q43" s="2"/>
    </row>
    <row r="44" spans="1:17" ht="16.5" thickBot="1">
      <c r="A44" s="5"/>
      <c r="B44" s="98"/>
      <c r="C44" s="163"/>
      <c r="D44" s="100">
        <f>D43</f>
        <v>1342430921</v>
      </c>
      <c r="E44" s="100">
        <f>D44+E43</f>
        <v>2184723970</v>
      </c>
      <c r="F44" s="100">
        <f t="shared" ref="F44:H44" si="45">E44+F43</f>
        <v>3149443222</v>
      </c>
      <c r="G44" s="100">
        <f t="shared" si="45"/>
        <v>4301144401</v>
      </c>
      <c r="H44" s="100">
        <f t="shared" si="45"/>
        <v>5615523935</v>
      </c>
      <c r="I44" s="100"/>
      <c r="J44" s="100"/>
      <c r="K44" s="100"/>
      <c r="L44" s="100"/>
      <c r="M44" s="100"/>
      <c r="N44" s="100"/>
      <c r="O44" s="100"/>
      <c r="P44" s="99"/>
      <c r="Q44" s="2"/>
    </row>
    <row r="45" spans="1:17" ht="16.5" thickTop="1">
      <c r="A45" s="5"/>
      <c r="B45" s="46" t="s">
        <v>55</v>
      </c>
      <c r="C45" s="80"/>
      <c r="D45" s="47"/>
      <c r="E45" s="64"/>
      <c r="F45" s="64"/>
      <c r="G45" s="64"/>
      <c r="H45" s="64"/>
      <c r="I45" s="64"/>
      <c r="J45" s="64"/>
      <c r="K45" s="64"/>
      <c r="L45" s="64"/>
      <c r="M45" s="64"/>
      <c r="N45" s="138"/>
      <c r="O45" s="63"/>
      <c r="P45" s="48"/>
      <c r="Q45" s="2"/>
    </row>
    <row r="46" spans="1:17" ht="15.75">
      <c r="A46" s="5"/>
      <c r="B46" s="49" t="s">
        <v>57</v>
      </c>
      <c r="C46" s="143"/>
      <c r="D46" s="13">
        <v>4</v>
      </c>
      <c r="E46" s="16">
        <v>4</v>
      </c>
      <c r="F46" s="16">
        <v>4</v>
      </c>
      <c r="G46" s="16">
        <v>4</v>
      </c>
      <c r="H46" s="16">
        <v>4</v>
      </c>
      <c r="I46" s="16">
        <v>4</v>
      </c>
      <c r="J46" s="16">
        <v>4</v>
      </c>
      <c r="K46" s="16">
        <v>4</v>
      </c>
      <c r="L46" s="16">
        <v>4</v>
      </c>
      <c r="M46" s="16">
        <v>4</v>
      </c>
      <c r="N46" s="16">
        <v>4</v>
      </c>
      <c r="O46" s="16">
        <v>4</v>
      </c>
      <c r="P46" s="48">
        <v>4</v>
      </c>
      <c r="Q46" s="2"/>
    </row>
    <row r="47" spans="1:17" ht="15.75">
      <c r="A47" s="5"/>
      <c r="B47" s="49" t="s">
        <v>58</v>
      </c>
      <c r="C47" s="80">
        <v>140000000</v>
      </c>
      <c r="D47" s="16">
        <v>140000000</v>
      </c>
      <c r="E47" s="16">
        <v>140000000</v>
      </c>
      <c r="F47" s="16">
        <v>140000000</v>
      </c>
      <c r="G47" s="16">
        <v>140000000</v>
      </c>
      <c r="H47" s="16">
        <v>140000000</v>
      </c>
      <c r="I47" s="16">
        <v>140000000</v>
      </c>
      <c r="J47" s="16">
        <v>140000000</v>
      </c>
      <c r="K47" s="16">
        <v>140000000</v>
      </c>
      <c r="L47" s="16">
        <v>140000000</v>
      </c>
      <c r="M47" s="16">
        <v>140000000</v>
      </c>
      <c r="N47" s="16">
        <v>140000000</v>
      </c>
      <c r="O47" s="16">
        <v>140000000</v>
      </c>
      <c r="P47" s="34">
        <f>SUM(D47:O47)</f>
        <v>1680000000</v>
      </c>
      <c r="Q47" s="2"/>
    </row>
    <row r="48" spans="1:17" ht="15.75">
      <c r="A48" s="5"/>
      <c r="B48" s="49" t="s">
        <v>106</v>
      </c>
      <c r="C48" s="80"/>
      <c r="D48" s="151">
        <v>2</v>
      </c>
      <c r="E48" s="151">
        <v>2</v>
      </c>
      <c r="F48" s="151">
        <v>2</v>
      </c>
      <c r="G48" s="151">
        <v>2</v>
      </c>
      <c r="H48" s="151">
        <v>2</v>
      </c>
      <c r="I48" s="151">
        <v>2</v>
      </c>
      <c r="J48" s="151">
        <v>2</v>
      </c>
      <c r="K48" s="151">
        <v>2</v>
      </c>
      <c r="L48" s="151">
        <v>2</v>
      </c>
      <c r="M48" s="151">
        <v>2</v>
      </c>
      <c r="N48" s="151">
        <v>2</v>
      </c>
      <c r="O48" s="151">
        <v>2</v>
      </c>
      <c r="P48" s="34">
        <v>2</v>
      </c>
      <c r="Q48" s="2"/>
    </row>
    <row r="49" spans="1:17" ht="15.75">
      <c r="A49" s="5"/>
      <c r="B49" s="49" t="s">
        <v>107</v>
      </c>
      <c r="C49" s="80">
        <v>15000000</v>
      </c>
      <c r="D49" s="13">
        <f>$C$49*D48</f>
        <v>30000000</v>
      </c>
      <c r="E49" s="13">
        <f t="shared" ref="E49:O49" si="46">$C$49*E48</f>
        <v>30000000</v>
      </c>
      <c r="F49" s="13">
        <f t="shared" si="46"/>
        <v>30000000</v>
      </c>
      <c r="G49" s="13">
        <f t="shared" si="46"/>
        <v>30000000</v>
      </c>
      <c r="H49" s="13">
        <f t="shared" si="46"/>
        <v>30000000</v>
      </c>
      <c r="I49" s="13">
        <f t="shared" si="46"/>
        <v>30000000</v>
      </c>
      <c r="J49" s="13">
        <f t="shared" si="46"/>
        <v>30000000</v>
      </c>
      <c r="K49" s="13">
        <f t="shared" si="46"/>
        <v>30000000</v>
      </c>
      <c r="L49" s="13">
        <f t="shared" si="46"/>
        <v>30000000</v>
      </c>
      <c r="M49" s="13">
        <f t="shared" si="46"/>
        <v>30000000</v>
      </c>
      <c r="N49" s="13">
        <f t="shared" si="46"/>
        <v>30000000</v>
      </c>
      <c r="O49" s="13">
        <f t="shared" si="46"/>
        <v>30000000</v>
      </c>
      <c r="P49" s="34">
        <f>SUM(D49:O49)</f>
        <v>360000000</v>
      </c>
      <c r="Q49" s="2"/>
    </row>
    <row r="50" spans="1:17" ht="15.75">
      <c r="A50" s="5"/>
      <c r="B50" s="49" t="s">
        <v>34</v>
      </c>
      <c r="C50" s="80"/>
      <c r="D50" s="13">
        <v>6</v>
      </c>
      <c r="E50" s="16">
        <v>6</v>
      </c>
      <c r="F50" s="16">
        <v>6</v>
      </c>
      <c r="G50" s="16">
        <v>6</v>
      </c>
      <c r="H50" s="16">
        <v>6</v>
      </c>
      <c r="I50" s="16">
        <v>6</v>
      </c>
      <c r="J50" s="16">
        <v>6</v>
      </c>
      <c r="K50" s="16">
        <v>6</v>
      </c>
      <c r="L50" s="16">
        <v>6</v>
      </c>
      <c r="M50" s="16">
        <v>6</v>
      </c>
      <c r="N50" s="16">
        <v>6</v>
      </c>
      <c r="O50" s="16">
        <v>6</v>
      </c>
      <c r="P50" s="34">
        <v>6</v>
      </c>
      <c r="Q50" s="2"/>
    </row>
    <row r="51" spans="1:17" ht="15.75">
      <c r="A51" s="5"/>
      <c r="B51" s="49" t="s">
        <v>34</v>
      </c>
      <c r="C51" s="80">
        <v>6500000</v>
      </c>
      <c r="D51" s="13">
        <f>$C$51*D50</f>
        <v>39000000</v>
      </c>
      <c r="E51" s="16">
        <f t="shared" ref="E51:O51" si="47">$C$51*E50</f>
        <v>39000000</v>
      </c>
      <c r="F51" s="16">
        <f t="shared" si="47"/>
        <v>39000000</v>
      </c>
      <c r="G51" s="16">
        <f t="shared" si="47"/>
        <v>39000000</v>
      </c>
      <c r="H51" s="16">
        <f t="shared" si="47"/>
        <v>39000000</v>
      </c>
      <c r="I51" s="16">
        <f t="shared" si="47"/>
        <v>39000000</v>
      </c>
      <c r="J51" s="16">
        <f t="shared" si="47"/>
        <v>39000000</v>
      </c>
      <c r="K51" s="16">
        <f t="shared" si="47"/>
        <v>39000000</v>
      </c>
      <c r="L51" s="16">
        <f t="shared" si="47"/>
        <v>39000000</v>
      </c>
      <c r="M51" s="16">
        <f t="shared" si="47"/>
        <v>39000000</v>
      </c>
      <c r="N51" s="16">
        <f t="shared" si="47"/>
        <v>39000000</v>
      </c>
      <c r="O51" s="16">
        <f t="shared" si="47"/>
        <v>39000000</v>
      </c>
      <c r="P51" s="34">
        <f>SUM(D51:O51)</f>
        <v>468000000</v>
      </c>
      <c r="Q51" s="2"/>
    </row>
    <row r="52" spans="1:17" ht="15.75">
      <c r="A52" s="5"/>
      <c r="B52" s="49" t="s">
        <v>35</v>
      </c>
      <c r="C52" s="143"/>
      <c r="D52" s="13">
        <v>10</v>
      </c>
      <c r="E52" s="16">
        <v>10</v>
      </c>
      <c r="F52" s="16">
        <v>10</v>
      </c>
      <c r="G52" s="16">
        <v>10</v>
      </c>
      <c r="H52" s="16">
        <v>10</v>
      </c>
      <c r="I52" s="16">
        <v>10</v>
      </c>
      <c r="J52" s="16">
        <v>10</v>
      </c>
      <c r="K52" s="16">
        <v>10</v>
      </c>
      <c r="L52" s="16">
        <v>10</v>
      </c>
      <c r="M52" s="16">
        <v>10</v>
      </c>
      <c r="N52" s="16">
        <v>10</v>
      </c>
      <c r="O52" s="16">
        <v>10</v>
      </c>
      <c r="P52" s="34">
        <v>10</v>
      </c>
      <c r="Q52" s="2"/>
    </row>
    <row r="53" spans="1:17" ht="15.75">
      <c r="A53" s="5"/>
      <c r="B53" s="49" t="s">
        <v>35</v>
      </c>
      <c r="C53" s="80">
        <v>6000000</v>
      </c>
      <c r="D53" s="13">
        <f>$C$53*D52</f>
        <v>60000000</v>
      </c>
      <c r="E53" s="16">
        <f t="shared" ref="E53:O53" si="48">$C$53*E52</f>
        <v>60000000</v>
      </c>
      <c r="F53" s="16">
        <f t="shared" si="48"/>
        <v>60000000</v>
      </c>
      <c r="G53" s="16">
        <f t="shared" si="48"/>
        <v>60000000</v>
      </c>
      <c r="H53" s="16">
        <f t="shared" si="48"/>
        <v>60000000</v>
      </c>
      <c r="I53" s="16">
        <f t="shared" si="48"/>
        <v>60000000</v>
      </c>
      <c r="J53" s="16">
        <f t="shared" si="48"/>
        <v>60000000</v>
      </c>
      <c r="K53" s="16">
        <f t="shared" si="48"/>
        <v>60000000</v>
      </c>
      <c r="L53" s="16">
        <f t="shared" si="48"/>
        <v>60000000</v>
      </c>
      <c r="M53" s="16">
        <f t="shared" si="48"/>
        <v>60000000</v>
      </c>
      <c r="N53" s="16">
        <f t="shared" si="48"/>
        <v>60000000</v>
      </c>
      <c r="O53" s="16">
        <f t="shared" si="48"/>
        <v>60000000</v>
      </c>
      <c r="P53" s="34">
        <f>SUM(D53:O53)</f>
        <v>720000000</v>
      </c>
      <c r="Q53" s="2"/>
    </row>
    <row r="54" spans="1:17" ht="15.75">
      <c r="A54" s="5"/>
      <c r="B54" s="49" t="s">
        <v>36</v>
      </c>
      <c r="C54" s="80"/>
      <c r="D54" s="13">
        <v>14</v>
      </c>
      <c r="E54" s="16">
        <v>14</v>
      </c>
      <c r="F54" s="16">
        <v>14</v>
      </c>
      <c r="G54" s="16">
        <v>14</v>
      </c>
      <c r="H54" s="16">
        <v>12</v>
      </c>
      <c r="I54" s="16">
        <v>12</v>
      </c>
      <c r="J54" s="16">
        <v>12</v>
      </c>
      <c r="K54" s="16">
        <v>12</v>
      </c>
      <c r="L54" s="16">
        <v>12</v>
      </c>
      <c r="M54" s="16">
        <v>12</v>
      </c>
      <c r="N54" s="16">
        <v>12</v>
      </c>
      <c r="O54" s="16">
        <v>12</v>
      </c>
      <c r="P54" s="34">
        <v>12</v>
      </c>
      <c r="Q54" s="2"/>
    </row>
    <row r="55" spans="1:17" ht="15.75">
      <c r="A55" s="5"/>
      <c r="B55" s="49" t="s">
        <v>36</v>
      </c>
      <c r="C55" s="80">
        <v>5000000</v>
      </c>
      <c r="D55" s="13">
        <f>D54*$C$55</f>
        <v>70000000</v>
      </c>
      <c r="E55" s="16">
        <f t="shared" ref="E55:O55" si="49">E54*$C$55</f>
        <v>70000000</v>
      </c>
      <c r="F55" s="16">
        <f t="shared" si="49"/>
        <v>70000000</v>
      </c>
      <c r="G55" s="16">
        <f t="shared" si="49"/>
        <v>70000000</v>
      </c>
      <c r="H55" s="16">
        <f t="shared" si="49"/>
        <v>60000000</v>
      </c>
      <c r="I55" s="16">
        <f t="shared" si="49"/>
        <v>60000000</v>
      </c>
      <c r="J55" s="16">
        <f t="shared" si="49"/>
        <v>60000000</v>
      </c>
      <c r="K55" s="16">
        <f t="shared" si="49"/>
        <v>60000000</v>
      </c>
      <c r="L55" s="16">
        <f t="shared" si="49"/>
        <v>60000000</v>
      </c>
      <c r="M55" s="16">
        <f t="shared" si="49"/>
        <v>60000000</v>
      </c>
      <c r="N55" s="16">
        <f t="shared" si="49"/>
        <v>60000000</v>
      </c>
      <c r="O55" s="16">
        <f t="shared" si="49"/>
        <v>60000000</v>
      </c>
      <c r="P55" s="34">
        <f>SUM(D55:O55)</f>
        <v>760000000</v>
      </c>
      <c r="Q55" s="2"/>
    </row>
    <row r="56" spans="1:17" ht="15.75">
      <c r="A56" s="5"/>
      <c r="B56" s="49" t="s">
        <v>37</v>
      </c>
      <c r="C56" s="80"/>
      <c r="D56" s="13">
        <v>15</v>
      </c>
      <c r="E56" s="16">
        <v>15</v>
      </c>
      <c r="F56" s="16">
        <v>15</v>
      </c>
      <c r="G56" s="16">
        <v>15</v>
      </c>
      <c r="H56" s="16">
        <v>12</v>
      </c>
      <c r="I56" s="16">
        <v>12</v>
      </c>
      <c r="J56" s="16">
        <v>12</v>
      </c>
      <c r="K56" s="16">
        <v>12</v>
      </c>
      <c r="L56" s="16">
        <v>12</v>
      </c>
      <c r="M56" s="16">
        <v>12</v>
      </c>
      <c r="N56" s="16">
        <v>12</v>
      </c>
      <c r="O56" s="16">
        <v>12</v>
      </c>
      <c r="P56" s="34">
        <v>12</v>
      </c>
      <c r="Q56" s="2"/>
    </row>
    <row r="57" spans="1:17" ht="15.75">
      <c r="A57" s="5"/>
      <c r="B57" s="49" t="s">
        <v>37</v>
      </c>
      <c r="C57" s="80">
        <v>4500000</v>
      </c>
      <c r="D57" s="13">
        <f>D56*$C$57</f>
        <v>67500000</v>
      </c>
      <c r="E57" s="16">
        <f t="shared" ref="E57:O57" si="50">E56*$C$57</f>
        <v>67500000</v>
      </c>
      <c r="F57" s="16">
        <f t="shared" si="50"/>
        <v>67500000</v>
      </c>
      <c r="G57" s="16">
        <f t="shared" si="50"/>
        <v>67500000</v>
      </c>
      <c r="H57" s="16">
        <f t="shared" si="50"/>
        <v>54000000</v>
      </c>
      <c r="I57" s="16">
        <f t="shared" si="50"/>
        <v>54000000</v>
      </c>
      <c r="J57" s="16">
        <f t="shared" si="50"/>
        <v>54000000</v>
      </c>
      <c r="K57" s="16">
        <f t="shared" si="50"/>
        <v>54000000</v>
      </c>
      <c r="L57" s="16">
        <f t="shared" si="50"/>
        <v>54000000</v>
      </c>
      <c r="M57" s="16">
        <f t="shared" si="50"/>
        <v>54000000</v>
      </c>
      <c r="N57" s="16">
        <f t="shared" si="50"/>
        <v>54000000</v>
      </c>
      <c r="O57" s="16">
        <f t="shared" si="50"/>
        <v>54000000</v>
      </c>
      <c r="P57" s="34">
        <f>SUM(D57:O57)</f>
        <v>702000000</v>
      </c>
      <c r="Q57" s="2"/>
    </row>
    <row r="58" spans="1:17" ht="15.75">
      <c r="A58" s="5"/>
      <c r="B58" s="49" t="s">
        <v>38</v>
      </c>
      <c r="C58" s="80"/>
      <c r="D58" s="13">
        <v>7</v>
      </c>
      <c r="E58" s="16">
        <v>7</v>
      </c>
      <c r="F58" s="16">
        <v>7</v>
      </c>
      <c r="G58" s="16">
        <v>7</v>
      </c>
      <c r="H58" s="16">
        <v>7</v>
      </c>
      <c r="I58" s="16">
        <v>7</v>
      </c>
      <c r="J58" s="16">
        <v>7</v>
      </c>
      <c r="K58" s="16">
        <v>7</v>
      </c>
      <c r="L58" s="16">
        <v>7</v>
      </c>
      <c r="M58" s="16">
        <v>7</v>
      </c>
      <c r="N58" s="16">
        <v>7</v>
      </c>
      <c r="O58" s="16">
        <v>7</v>
      </c>
      <c r="P58" s="34">
        <v>7</v>
      </c>
      <c r="Q58" s="2"/>
    </row>
    <row r="59" spans="1:17" ht="15.75">
      <c r="A59" s="5"/>
      <c r="B59" s="49" t="s">
        <v>38</v>
      </c>
      <c r="C59" s="80">
        <v>4500000</v>
      </c>
      <c r="D59" s="13">
        <f>D58*$C$59</f>
        <v>31500000</v>
      </c>
      <c r="E59" s="16">
        <f t="shared" ref="E59:O59" si="51">E58*$C$59</f>
        <v>31500000</v>
      </c>
      <c r="F59" s="16">
        <f t="shared" si="51"/>
        <v>31500000</v>
      </c>
      <c r="G59" s="16">
        <f t="shared" si="51"/>
        <v>31500000</v>
      </c>
      <c r="H59" s="16">
        <f t="shared" si="51"/>
        <v>31500000</v>
      </c>
      <c r="I59" s="16">
        <f t="shared" si="51"/>
        <v>31500000</v>
      </c>
      <c r="J59" s="16">
        <f t="shared" si="51"/>
        <v>31500000</v>
      </c>
      <c r="K59" s="16">
        <f t="shared" si="51"/>
        <v>31500000</v>
      </c>
      <c r="L59" s="16">
        <f t="shared" si="51"/>
        <v>31500000</v>
      </c>
      <c r="M59" s="16">
        <f t="shared" si="51"/>
        <v>31500000</v>
      </c>
      <c r="N59" s="16">
        <f t="shared" si="51"/>
        <v>31500000</v>
      </c>
      <c r="O59" s="16">
        <f t="shared" si="51"/>
        <v>31500000</v>
      </c>
      <c r="P59" s="34">
        <f>SUM(D59:O59)</f>
        <v>378000000</v>
      </c>
      <c r="Q59" s="2"/>
    </row>
    <row r="60" spans="1:17" ht="15.75">
      <c r="A60" s="5"/>
      <c r="B60" s="49" t="s">
        <v>39</v>
      </c>
      <c r="C60" s="80"/>
      <c r="D60" s="13">
        <v>12</v>
      </c>
      <c r="E60" s="16">
        <v>12</v>
      </c>
      <c r="F60" s="16">
        <v>12</v>
      </c>
      <c r="G60" s="16">
        <v>12</v>
      </c>
      <c r="H60" s="16">
        <v>12</v>
      </c>
      <c r="I60" s="16">
        <v>10</v>
      </c>
      <c r="J60" s="16">
        <v>10</v>
      </c>
      <c r="K60" s="16">
        <v>10</v>
      </c>
      <c r="L60" s="16">
        <v>10</v>
      </c>
      <c r="M60" s="16">
        <v>10</v>
      </c>
      <c r="N60" s="16">
        <v>10</v>
      </c>
      <c r="O60" s="16">
        <v>10</v>
      </c>
      <c r="P60" s="34">
        <v>10</v>
      </c>
      <c r="Q60" s="2"/>
    </row>
    <row r="61" spans="1:17" ht="15.75">
      <c r="A61" s="5"/>
      <c r="B61" s="49" t="s">
        <v>39</v>
      </c>
      <c r="C61" s="80">
        <v>4500000</v>
      </c>
      <c r="D61" s="13">
        <f>D60*$C$61</f>
        <v>54000000</v>
      </c>
      <c r="E61" s="16">
        <f t="shared" ref="E61:O61" si="52">E60*$C$61</f>
        <v>54000000</v>
      </c>
      <c r="F61" s="16">
        <f t="shared" si="52"/>
        <v>54000000</v>
      </c>
      <c r="G61" s="16">
        <f t="shared" si="52"/>
        <v>54000000</v>
      </c>
      <c r="H61" s="16">
        <f t="shared" si="52"/>
        <v>54000000</v>
      </c>
      <c r="I61" s="16">
        <f t="shared" si="52"/>
        <v>45000000</v>
      </c>
      <c r="J61" s="16">
        <f t="shared" si="52"/>
        <v>45000000</v>
      </c>
      <c r="K61" s="16">
        <f t="shared" si="52"/>
        <v>45000000</v>
      </c>
      <c r="L61" s="16">
        <f t="shared" si="52"/>
        <v>45000000</v>
      </c>
      <c r="M61" s="16">
        <f t="shared" si="52"/>
        <v>45000000</v>
      </c>
      <c r="N61" s="16">
        <f t="shared" si="52"/>
        <v>45000000</v>
      </c>
      <c r="O61" s="16">
        <f t="shared" si="52"/>
        <v>45000000</v>
      </c>
      <c r="P61" s="34">
        <f>SUM(D61:O61)</f>
        <v>585000000</v>
      </c>
      <c r="Q61" s="2"/>
    </row>
    <row r="62" spans="1:17" ht="15.75">
      <c r="A62" s="5"/>
      <c r="B62" s="49" t="s">
        <v>40</v>
      </c>
      <c r="C62" s="143"/>
      <c r="D62" s="13">
        <v>6</v>
      </c>
      <c r="E62" s="16">
        <v>6</v>
      </c>
      <c r="F62" s="16">
        <v>6</v>
      </c>
      <c r="G62" s="16">
        <v>6</v>
      </c>
      <c r="H62" s="16">
        <v>6</v>
      </c>
      <c r="I62" s="16">
        <v>6</v>
      </c>
      <c r="J62" s="16">
        <v>6</v>
      </c>
      <c r="K62" s="16">
        <v>6</v>
      </c>
      <c r="L62" s="16">
        <v>6</v>
      </c>
      <c r="M62" s="16">
        <v>6</v>
      </c>
      <c r="N62" s="16">
        <v>6</v>
      </c>
      <c r="O62" s="16">
        <v>6</v>
      </c>
      <c r="P62" s="34">
        <v>6</v>
      </c>
      <c r="Q62" s="2"/>
    </row>
    <row r="63" spans="1:17" ht="15.75">
      <c r="A63" s="5"/>
      <c r="B63" s="49" t="s">
        <v>40</v>
      </c>
      <c r="C63" s="80">
        <v>4000000</v>
      </c>
      <c r="D63" s="13">
        <f>D62*$C$63</f>
        <v>24000000</v>
      </c>
      <c r="E63" s="16">
        <f t="shared" ref="E63:O63" si="53">E62*$C$63</f>
        <v>24000000</v>
      </c>
      <c r="F63" s="16">
        <f t="shared" si="53"/>
        <v>24000000</v>
      </c>
      <c r="G63" s="16">
        <f t="shared" si="53"/>
        <v>24000000</v>
      </c>
      <c r="H63" s="16">
        <f t="shared" si="53"/>
        <v>24000000</v>
      </c>
      <c r="I63" s="16">
        <f t="shared" si="53"/>
        <v>24000000</v>
      </c>
      <c r="J63" s="16">
        <f t="shared" si="53"/>
        <v>24000000</v>
      </c>
      <c r="K63" s="16">
        <f t="shared" si="53"/>
        <v>24000000</v>
      </c>
      <c r="L63" s="16">
        <f t="shared" si="53"/>
        <v>24000000</v>
      </c>
      <c r="M63" s="16">
        <f t="shared" si="53"/>
        <v>24000000</v>
      </c>
      <c r="N63" s="16">
        <f t="shared" si="53"/>
        <v>24000000</v>
      </c>
      <c r="O63" s="16">
        <f t="shared" si="53"/>
        <v>24000000</v>
      </c>
      <c r="P63" s="34">
        <f>SUM(D63:O63)</f>
        <v>288000000</v>
      </c>
      <c r="Q63" s="2"/>
    </row>
    <row r="64" spans="1:17" ht="15.75">
      <c r="A64" s="5"/>
      <c r="B64" s="49" t="s">
        <v>41</v>
      </c>
      <c r="C64" s="80"/>
      <c r="D64" s="13">
        <v>4</v>
      </c>
      <c r="E64" s="16">
        <v>4</v>
      </c>
      <c r="F64" s="16">
        <v>4</v>
      </c>
      <c r="G64" s="16">
        <v>4</v>
      </c>
      <c r="H64" s="16">
        <v>4</v>
      </c>
      <c r="I64" s="16">
        <v>4</v>
      </c>
      <c r="J64" s="16">
        <v>4</v>
      </c>
      <c r="K64" s="16">
        <v>4</v>
      </c>
      <c r="L64" s="16">
        <v>4</v>
      </c>
      <c r="M64" s="16">
        <v>4</v>
      </c>
      <c r="N64" s="16">
        <v>4</v>
      </c>
      <c r="O64" s="16">
        <v>4</v>
      </c>
      <c r="P64" s="34">
        <v>4</v>
      </c>
      <c r="Q64" s="2"/>
    </row>
    <row r="65" spans="1:17" ht="15.75">
      <c r="A65" s="5"/>
      <c r="B65" s="49" t="s">
        <v>41</v>
      </c>
      <c r="C65" s="80">
        <v>1500000</v>
      </c>
      <c r="D65" s="13">
        <f>D64*$C$65</f>
        <v>6000000</v>
      </c>
      <c r="E65" s="16">
        <f t="shared" ref="E65:O65" si="54">E64*$C$65</f>
        <v>6000000</v>
      </c>
      <c r="F65" s="16">
        <f t="shared" si="54"/>
        <v>6000000</v>
      </c>
      <c r="G65" s="16">
        <f t="shared" si="54"/>
        <v>6000000</v>
      </c>
      <c r="H65" s="16">
        <f t="shared" si="54"/>
        <v>6000000</v>
      </c>
      <c r="I65" s="16">
        <f t="shared" si="54"/>
        <v>6000000</v>
      </c>
      <c r="J65" s="16">
        <f t="shared" si="54"/>
        <v>6000000</v>
      </c>
      <c r="K65" s="16">
        <f t="shared" si="54"/>
        <v>6000000</v>
      </c>
      <c r="L65" s="16">
        <f t="shared" si="54"/>
        <v>6000000</v>
      </c>
      <c r="M65" s="16">
        <f t="shared" si="54"/>
        <v>6000000</v>
      </c>
      <c r="N65" s="16">
        <f t="shared" si="54"/>
        <v>6000000</v>
      </c>
      <c r="O65" s="16">
        <f t="shared" si="54"/>
        <v>6000000</v>
      </c>
      <c r="P65" s="34">
        <f>SUM(D65:O65)</f>
        <v>72000000</v>
      </c>
      <c r="Q65" s="2"/>
    </row>
    <row r="66" spans="1:17" ht="15.75">
      <c r="A66" s="5"/>
      <c r="B66" s="50" t="s">
        <v>97</v>
      </c>
      <c r="C66" s="120">
        <v>0.1</v>
      </c>
      <c r="D66" s="16">
        <f>(D47+D51+D53+D55+D57+D59+D61+D63+D65)*$C$66</f>
        <v>49200000</v>
      </c>
      <c r="E66" s="16">
        <f t="shared" ref="E66:O66" si="55">(E47+E51+E53+E55+E57+E59+E61+E63+E65)*$C$66</f>
        <v>49200000</v>
      </c>
      <c r="F66" s="16">
        <f t="shared" si="55"/>
        <v>49200000</v>
      </c>
      <c r="G66" s="16">
        <f t="shared" si="55"/>
        <v>49200000</v>
      </c>
      <c r="H66" s="16">
        <f t="shared" si="55"/>
        <v>46850000</v>
      </c>
      <c r="I66" s="16">
        <f t="shared" si="55"/>
        <v>45950000</v>
      </c>
      <c r="J66" s="16">
        <f t="shared" si="55"/>
        <v>45950000</v>
      </c>
      <c r="K66" s="16">
        <f t="shared" si="55"/>
        <v>45950000</v>
      </c>
      <c r="L66" s="16">
        <f t="shared" si="55"/>
        <v>45950000</v>
      </c>
      <c r="M66" s="16">
        <f t="shared" si="55"/>
        <v>45950000</v>
      </c>
      <c r="N66" s="16">
        <f t="shared" si="55"/>
        <v>45950000</v>
      </c>
      <c r="O66" s="16">
        <f t="shared" si="55"/>
        <v>45950000</v>
      </c>
      <c r="P66" s="34">
        <f>SUM(D66:O66)</f>
        <v>565300000</v>
      </c>
      <c r="Q66" s="2"/>
    </row>
    <row r="67" spans="1:17" ht="15.75">
      <c r="A67" s="5"/>
      <c r="B67" s="51" t="s">
        <v>42</v>
      </c>
      <c r="C67" s="121"/>
      <c r="D67" s="111">
        <f>D46+D48+D50+D52+D54+D56+D58+D60+D62+D64</f>
        <v>80</v>
      </c>
      <c r="E67" s="111">
        <f t="shared" ref="E67:P67" si="56">E46+E48+E50+E52+E54+E56+E58+E60+E62+E64</f>
        <v>80</v>
      </c>
      <c r="F67" s="111">
        <f t="shared" si="56"/>
        <v>80</v>
      </c>
      <c r="G67" s="111">
        <f t="shared" si="56"/>
        <v>80</v>
      </c>
      <c r="H67" s="111">
        <f t="shared" si="56"/>
        <v>75</v>
      </c>
      <c r="I67" s="111">
        <f t="shared" si="56"/>
        <v>73</v>
      </c>
      <c r="J67" s="111">
        <f t="shared" si="56"/>
        <v>73</v>
      </c>
      <c r="K67" s="111">
        <f t="shared" si="56"/>
        <v>73</v>
      </c>
      <c r="L67" s="111">
        <f t="shared" si="56"/>
        <v>73</v>
      </c>
      <c r="M67" s="111">
        <f t="shared" si="56"/>
        <v>73</v>
      </c>
      <c r="N67" s="111">
        <f t="shared" si="56"/>
        <v>73</v>
      </c>
      <c r="O67" s="111">
        <f t="shared" si="56"/>
        <v>73</v>
      </c>
      <c r="P67" s="111">
        <f t="shared" si="56"/>
        <v>73</v>
      </c>
      <c r="Q67" s="2"/>
    </row>
    <row r="68" spans="1:17" ht="15.75">
      <c r="A68" s="5"/>
      <c r="B68" s="51" t="s">
        <v>109</v>
      </c>
      <c r="C68" s="26"/>
      <c r="D68" s="112">
        <f>(D47+D49+D51+D53+D55+D57+D59+D61+D63+D65+D66)</f>
        <v>571200000</v>
      </c>
      <c r="E68" s="112">
        <f t="shared" ref="E68:P68" si="57">(E47+E49+E51+E53+E55+E57+E59+E61+E63+E65+E66)</f>
        <v>571200000</v>
      </c>
      <c r="F68" s="112">
        <f t="shared" si="57"/>
        <v>571200000</v>
      </c>
      <c r="G68" s="112">
        <f t="shared" si="57"/>
        <v>571200000</v>
      </c>
      <c r="H68" s="112">
        <f t="shared" si="57"/>
        <v>545350000</v>
      </c>
      <c r="I68" s="112">
        <f t="shared" si="57"/>
        <v>535450000</v>
      </c>
      <c r="J68" s="112">
        <f t="shared" si="57"/>
        <v>535450000</v>
      </c>
      <c r="K68" s="112">
        <f t="shared" si="57"/>
        <v>535450000</v>
      </c>
      <c r="L68" s="112">
        <f t="shared" si="57"/>
        <v>535450000</v>
      </c>
      <c r="M68" s="112">
        <f t="shared" si="57"/>
        <v>535450000</v>
      </c>
      <c r="N68" s="112">
        <f t="shared" si="57"/>
        <v>535450000</v>
      </c>
      <c r="O68" s="112">
        <f t="shared" si="57"/>
        <v>535450000</v>
      </c>
      <c r="P68" s="154">
        <f t="shared" si="57"/>
        <v>6578300000</v>
      </c>
      <c r="Q68" s="2"/>
    </row>
    <row r="69" spans="1:17" ht="16.5" thickBot="1">
      <c r="A69" s="5"/>
      <c r="B69" s="162"/>
      <c r="C69" s="163">
        <v>0.2</v>
      </c>
      <c r="D69" s="180">
        <f t="shared" ref="D69:P69" si="58">D68/D16</f>
        <v>0.24592334269753624</v>
      </c>
      <c r="E69" s="169">
        <f t="shared" si="58"/>
        <v>0.31947123483686163</v>
      </c>
      <c r="F69" s="169">
        <f t="shared" si="58"/>
        <v>0.29004502705309682</v>
      </c>
      <c r="G69" s="169">
        <f t="shared" si="58"/>
        <v>0.29101402491960432</v>
      </c>
      <c r="H69" s="169">
        <f t="shared" si="58"/>
        <v>0.26119938773924756</v>
      </c>
      <c r="I69" s="169">
        <f t="shared" si="58"/>
        <v>0.261237875759667</v>
      </c>
      <c r="J69" s="169">
        <f t="shared" si="58"/>
        <v>0.24924358795326537</v>
      </c>
      <c r="K69" s="169">
        <f t="shared" si="58"/>
        <v>0.24575356812540652</v>
      </c>
      <c r="L69" s="169">
        <f t="shared" si="58"/>
        <v>0.25041646439732151</v>
      </c>
      <c r="M69" s="169">
        <f t="shared" si="58"/>
        <v>0.23899623633931413</v>
      </c>
      <c r="N69" s="169">
        <f t="shared" si="58"/>
        <v>0.24358211508157465</v>
      </c>
      <c r="O69" s="169">
        <f t="shared" si="58"/>
        <v>0.23252165709406553</v>
      </c>
      <c r="P69" s="163">
        <f t="shared" si="58"/>
        <v>0.25911988461742069</v>
      </c>
      <c r="Q69" s="2"/>
    </row>
    <row r="70" spans="1:17" ht="17.25" thickTop="1" thickBot="1">
      <c r="A70" s="5"/>
      <c r="B70" s="103"/>
      <c r="C70" s="43"/>
      <c r="D70" s="183">
        <v>552090375</v>
      </c>
      <c r="E70" s="167">
        <v>546118416</v>
      </c>
      <c r="F70" s="167">
        <v>544334077</v>
      </c>
      <c r="G70" s="167">
        <v>596480706</v>
      </c>
      <c r="H70" s="167">
        <v>616978740</v>
      </c>
      <c r="I70" s="167"/>
      <c r="J70" s="167"/>
      <c r="K70" s="167"/>
      <c r="L70" s="167"/>
      <c r="M70" s="167"/>
      <c r="N70" s="167"/>
      <c r="O70" s="167"/>
      <c r="P70" s="168"/>
      <c r="Q70" s="2"/>
    </row>
    <row r="71" spans="1:17" ht="16.5" thickTop="1">
      <c r="A71" s="5"/>
      <c r="B71" s="59"/>
      <c r="C71" s="184"/>
      <c r="D71" s="185">
        <f>D70/D16</f>
        <v>0.2376959217281798</v>
      </c>
      <c r="E71" s="186">
        <f t="shared" ref="E71:P71" si="59">E70/E16</f>
        <v>0.305443145529886</v>
      </c>
      <c r="F71" s="186">
        <f t="shared" si="59"/>
        <v>0.27640299735537027</v>
      </c>
      <c r="G71" s="186">
        <f t="shared" si="59"/>
        <v>0.30389399691867502</v>
      </c>
      <c r="H71" s="186">
        <f t="shared" si="59"/>
        <v>0.2955064988285182</v>
      </c>
      <c r="I71" s="186">
        <f t="shared" si="59"/>
        <v>0</v>
      </c>
      <c r="J71" s="186">
        <f t="shared" si="59"/>
        <v>0</v>
      </c>
      <c r="K71" s="186">
        <f t="shared" si="59"/>
        <v>0</v>
      </c>
      <c r="L71" s="186">
        <f t="shared" si="59"/>
        <v>0</v>
      </c>
      <c r="M71" s="186">
        <f t="shared" si="59"/>
        <v>0</v>
      </c>
      <c r="N71" s="186">
        <f t="shared" si="59"/>
        <v>0</v>
      </c>
      <c r="O71" s="186">
        <f t="shared" si="59"/>
        <v>0</v>
      </c>
      <c r="P71" s="184">
        <f t="shared" si="59"/>
        <v>0</v>
      </c>
      <c r="Q71" s="2"/>
    </row>
    <row r="72" spans="1:17" ht="15.75">
      <c r="A72" s="5"/>
      <c r="B72" s="53" t="s">
        <v>59</v>
      </c>
      <c r="C72" s="105"/>
      <c r="D72" s="13"/>
      <c r="E72" s="16"/>
      <c r="F72" s="16"/>
      <c r="G72" s="16"/>
      <c r="H72" s="16"/>
      <c r="I72" s="16"/>
      <c r="J72" s="16"/>
      <c r="K72" s="16"/>
      <c r="L72" s="16"/>
      <c r="M72" s="16"/>
      <c r="N72" s="138"/>
      <c r="O72" s="63"/>
      <c r="P72" s="34"/>
      <c r="Q72" s="2"/>
    </row>
    <row r="73" spans="1:17" ht="15.75">
      <c r="A73" s="5"/>
      <c r="B73" s="49" t="s">
        <v>43</v>
      </c>
      <c r="C73" s="106">
        <v>0.03</v>
      </c>
      <c r="D73" s="13">
        <f t="shared" ref="D73:O73" si="60">$C$73*D16</f>
        <v>69680250</v>
      </c>
      <c r="E73" s="16">
        <f t="shared" si="60"/>
        <v>53638632</v>
      </c>
      <c r="F73" s="16">
        <f t="shared" si="60"/>
        <v>59080482</v>
      </c>
      <c r="G73" s="16">
        <f t="shared" si="60"/>
        <v>58883760</v>
      </c>
      <c r="H73" s="16">
        <f t="shared" si="60"/>
        <v>62636058</v>
      </c>
      <c r="I73" s="16">
        <f t="shared" si="60"/>
        <v>61489935</v>
      </c>
      <c r="J73" s="16">
        <f t="shared" si="60"/>
        <v>64449000</v>
      </c>
      <c r="K73" s="16">
        <f t="shared" si="60"/>
        <v>65364259.5</v>
      </c>
      <c r="L73" s="16">
        <f t="shared" si="60"/>
        <v>64147140</v>
      </c>
      <c r="M73" s="16">
        <f t="shared" si="60"/>
        <v>67212355.5</v>
      </c>
      <c r="N73" s="16">
        <f t="shared" si="60"/>
        <v>65946960</v>
      </c>
      <c r="O73" s="16">
        <f t="shared" si="60"/>
        <v>69083887.5</v>
      </c>
      <c r="P73" s="34">
        <f>SUM(D73:O73)</f>
        <v>761612719.5</v>
      </c>
      <c r="Q73" s="2"/>
    </row>
    <row r="74" spans="1:17" ht="15.75">
      <c r="A74" s="5"/>
      <c r="B74" s="49" t="s">
        <v>44</v>
      </c>
      <c r="C74" s="106">
        <v>1.4999999999999999E-2</v>
      </c>
      <c r="D74" s="13">
        <f t="shared" ref="D74:O74" si="61">$C$74*D16</f>
        <v>34840125</v>
      </c>
      <c r="E74" s="16">
        <f t="shared" si="61"/>
        <v>26819316</v>
      </c>
      <c r="F74" s="16">
        <f t="shared" si="61"/>
        <v>29540241</v>
      </c>
      <c r="G74" s="16">
        <f t="shared" si="61"/>
        <v>29441880</v>
      </c>
      <c r="H74" s="16">
        <f t="shared" si="61"/>
        <v>31318029</v>
      </c>
      <c r="I74" s="16">
        <f t="shared" si="61"/>
        <v>30744967.5</v>
      </c>
      <c r="J74" s="16">
        <f t="shared" si="61"/>
        <v>32224500</v>
      </c>
      <c r="K74" s="16">
        <f t="shared" si="61"/>
        <v>32682129.75</v>
      </c>
      <c r="L74" s="16">
        <f t="shared" si="61"/>
        <v>32073570</v>
      </c>
      <c r="M74" s="16">
        <f t="shared" si="61"/>
        <v>33606177.75</v>
      </c>
      <c r="N74" s="16">
        <f t="shared" si="61"/>
        <v>32973480</v>
      </c>
      <c r="O74" s="16">
        <f t="shared" si="61"/>
        <v>34541943.75</v>
      </c>
      <c r="P74" s="34">
        <f>SUM(D74:O74)</f>
        <v>380806359.75</v>
      </c>
      <c r="Q74" s="2"/>
    </row>
    <row r="75" spans="1:17" ht="15.75">
      <c r="A75" s="5"/>
      <c r="B75" s="49" t="s">
        <v>45</v>
      </c>
      <c r="C75" s="106">
        <v>0.01</v>
      </c>
      <c r="D75" s="13">
        <f t="shared" ref="D75:O75" si="62">$C$75*D16</f>
        <v>23226750</v>
      </c>
      <c r="E75" s="16">
        <f t="shared" si="62"/>
        <v>17879544</v>
      </c>
      <c r="F75" s="16">
        <f t="shared" si="62"/>
        <v>19693494</v>
      </c>
      <c r="G75" s="16">
        <f t="shared" si="62"/>
        <v>19627920</v>
      </c>
      <c r="H75" s="16">
        <f t="shared" si="62"/>
        <v>20878686</v>
      </c>
      <c r="I75" s="16">
        <f t="shared" si="62"/>
        <v>20496645</v>
      </c>
      <c r="J75" s="16">
        <f t="shared" si="62"/>
        <v>21483000</v>
      </c>
      <c r="K75" s="16">
        <f t="shared" si="62"/>
        <v>21788086.5</v>
      </c>
      <c r="L75" s="16">
        <f t="shared" si="62"/>
        <v>21382380</v>
      </c>
      <c r="M75" s="16">
        <f t="shared" si="62"/>
        <v>22404118.5</v>
      </c>
      <c r="N75" s="16">
        <f t="shared" si="62"/>
        <v>21982320</v>
      </c>
      <c r="O75" s="16">
        <f t="shared" si="62"/>
        <v>23027962.5</v>
      </c>
      <c r="P75" s="34">
        <f>SUM(D75:O75)</f>
        <v>253870906.5</v>
      </c>
      <c r="Q75" s="2"/>
    </row>
    <row r="76" spans="1:17" ht="15.75">
      <c r="A76" s="5"/>
      <c r="B76" s="49"/>
      <c r="C76" s="106"/>
      <c r="D76" s="47">
        <f>SUM(D73:D75)</f>
        <v>127747125</v>
      </c>
      <c r="E76" s="64">
        <f t="shared" ref="E76:P76" si="63">SUM(E73:E75)</f>
        <v>98337492</v>
      </c>
      <c r="F76" s="64">
        <f t="shared" si="63"/>
        <v>108314217</v>
      </c>
      <c r="G76" s="64">
        <f t="shared" si="63"/>
        <v>107953560</v>
      </c>
      <c r="H76" s="64">
        <f t="shared" si="63"/>
        <v>114832773</v>
      </c>
      <c r="I76" s="64">
        <f t="shared" si="63"/>
        <v>112731547.5</v>
      </c>
      <c r="J76" s="64">
        <f t="shared" si="63"/>
        <v>118156500</v>
      </c>
      <c r="K76" s="64">
        <f t="shared" si="63"/>
        <v>119834475.75</v>
      </c>
      <c r="L76" s="64">
        <f t="shared" si="63"/>
        <v>117603090</v>
      </c>
      <c r="M76" s="64">
        <f t="shared" si="63"/>
        <v>123222651.75</v>
      </c>
      <c r="N76" s="64">
        <f t="shared" si="63"/>
        <v>120902760</v>
      </c>
      <c r="O76" s="64">
        <f t="shared" si="63"/>
        <v>126653793.75</v>
      </c>
      <c r="P76" s="55">
        <f t="shared" si="63"/>
        <v>1396289985.75</v>
      </c>
      <c r="Q76" s="2"/>
    </row>
    <row r="77" spans="1:17" ht="15.75">
      <c r="A77" s="5"/>
      <c r="B77" s="53" t="s">
        <v>98</v>
      </c>
      <c r="C77" s="106"/>
      <c r="D77" s="195">
        <v>185280043</v>
      </c>
      <c r="E77" s="196">
        <v>189352275</v>
      </c>
      <c r="F77" s="196">
        <v>173193601</v>
      </c>
      <c r="G77" s="196">
        <v>197377364</v>
      </c>
      <c r="H77" s="196">
        <v>201014672</v>
      </c>
      <c r="I77" s="196"/>
      <c r="J77" s="196"/>
      <c r="K77" s="196"/>
      <c r="L77" s="196"/>
      <c r="M77" s="196"/>
      <c r="N77" s="196"/>
      <c r="O77" s="196"/>
      <c r="P77" s="197"/>
      <c r="Q77" s="2"/>
    </row>
    <row r="78" spans="1:17" ht="15.75">
      <c r="A78" s="5"/>
      <c r="B78" s="49" t="s">
        <v>62</v>
      </c>
      <c r="C78" s="106"/>
      <c r="D78" s="13">
        <v>75250000</v>
      </c>
      <c r="E78" s="13">
        <v>75250000</v>
      </c>
      <c r="F78" s="13">
        <v>75250000</v>
      </c>
      <c r="G78" s="13">
        <v>75250000</v>
      </c>
      <c r="H78" s="13">
        <v>75250000</v>
      </c>
      <c r="I78" s="13">
        <v>75250000</v>
      </c>
      <c r="J78" s="13">
        <v>75250000</v>
      </c>
      <c r="K78" s="13">
        <v>75250000</v>
      </c>
      <c r="L78" s="13">
        <v>75250000</v>
      </c>
      <c r="M78" s="13">
        <v>75250000</v>
      </c>
      <c r="N78" s="13">
        <v>75250000</v>
      </c>
      <c r="O78" s="13">
        <v>75250000</v>
      </c>
      <c r="P78" s="34">
        <f>SUM(D78:O78)</f>
        <v>903000000</v>
      </c>
      <c r="Q78" s="2"/>
    </row>
    <row r="79" spans="1:17" ht="15.75">
      <c r="A79" s="5"/>
      <c r="B79" s="49" t="s">
        <v>61</v>
      </c>
      <c r="C79" s="106">
        <v>1.4999999999999999E-2</v>
      </c>
      <c r="D79" s="13">
        <f t="shared" ref="D79:O79" si="64">$C$79*D16</f>
        <v>34840125</v>
      </c>
      <c r="E79" s="16">
        <f t="shared" si="64"/>
        <v>26819316</v>
      </c>
      <c r="F79" s="16">
        <f t="shared" si="64"/>
        <v>29540241</v>
      </c>
      <c r="G79" s="16">
        <f t="shared" si="64"/>
        <v>29441880</v>
      </c>
      <c r="H79" s="16">
        <f t="shared" si="64"/>
        <v>31318029</v>
      </c>
      <c r="I79" s="16">
        <f t="shared" si="64"/>
        <v>30744967.5</v>
      </c>
      <c r="J79" s="16">
        <f t="shared" si="64"/>
        <v>32224500</v>
      </c>
      <c r="K79" s="16">
        <f t="shared" si="64"/>
        <v>32682129.75</v>
      </c>
      <c r="L79" s="16">
        <f t="shared" si="64"/>
        <v>32073570</v>
      </c>
      <c r="M79" s="16">
        <f t="shared" si="64"/>
        <v>33606177.75</v>
      </c>
      <c r="N79" s="16">
        <f t="shared" si="64"/>
        <v>32973480</v>
      </c>
      <c r="O79" s="16">
        <f t="shared" si="64"/>
        <v>34541943.75</v>
      </c>
      <c r="P79" s="34">
        <f t="shared" ref="P79:P80" si="65">SUM(D79:O79)</f>
        <v>380806359.75</v>
      </c>
      <c r="Q79" s="2"/>
    </row>
    <row r="80" spans="1:17" ht="15.75">
      <c r="A80" s="5"/>
      <c r="B80" s="49" t="s">
        <v>64</v>
      </c>
      <c r="C80" s="106">
        <v>0.02</v>
      </c>
      <c r="D80" s="13">
        <f t="shared" ref="D80:O80" si="66">$C$80*D16</f>
        <v>46453500</v>
      </c>
      <c r="E80" s="16">
        <f t="shared" si="66"/>
        <v>35759088</v>
      </c>
      <c r="F80" s="16">
        <f t="shared" si="66"/>
        <v>39386988</v>
      </c>
      <c r="G80" s="16">
        <f t="shared" si="66"/>
        <v>39255840</v>
      </c>
      <c r="H80" s="16">
        <f t="shared" si="66"/>
        <v>41757372</v>
      </c>
      <c r="I80" s="16">
        <f t="shared" si="66"/>
        <v>40993290</v>
      </c>
      <c r="J80" s="16">
        <f t="shared" si="66"/>
        <v>42966000</v>
      </c>
      <c r="K80" s="16">
        <f t="shared" si="66"/>
        <v>43576173</v>
      </c>
      <c r="L80" s="16">
        <f t="shared" si="66"/>
        <v>42764760</v>
      </c>
      <c r="M80" s="16">
        <f t="shared" si="66"/>
        <v>44808237</v>
      </c>
      <c r="N80" s="16">
        <f t="shared" si="66"/>
        <v>43964640</v>
      </c>
      <c r="O80" s="16">
        <f t="shared" si="66"/>
        <v>46055925</v>
      </c>
      <c r="P80" s="34">
        <f t="shared" si="65"/>
        <v>507741813</v>
      </c>
      <c r="Q80" s="2"/>
    </row>
    <row r="81" spans="1:17" ht="15.75">
      <c r="A81" s="5"/>
      <c r="B81" s="49"/>
      <c r="C81" s="106"/>
      <c r="D81" s="47">
        <f>SUM(D78:D80)</f>
        <v>156543625</v>
      </c>
      <c r="E81" s="64">
        <f t="shared" ref="E81:P81" si="67">SUM(E78:E80)</f>
        <v>137828404</v>
      </c>
      <c r="F81" s="64">
        <f t="shared" si="67"/>
        <v>144177229</v>
      </c>
      <c r="G81" s="64">
        <f t="shared" si="67"/>
        <v>143947720</v>
      </c>
      <c r="H81" s="64">
        <f t="shared" si="67"/>
        <v>148325401</v>
      </c>
      <c r="I81" s="64">
        <f t="shared" si="67"/>
        <v>146988257.5</v>
      </c>
      <c r="J81" s="64">
        <f t="shared" si="67"/>
        <v>150440500</v>
      </c>
      <c r="K81" s="64">
        <f t="shared" si="67"/>
        <v>151508302.75</v>
      </c>
      <c r="L81" s="64">
        <f t="shared" si="67"/>
        <v>150088330</v>
      </c>
      <c r="M81" s="64">
        <f t="shared" si="67"/>
        <v>153664414.75</v>
      </c>
      <c r="N81" s="64">
        <f t="shared" si="67"/>
        <v>152188120</v>
      </c>
      <c r="O81" s="64">
        <f t="shared" si="67"/>
        <v>155847868.75</v>
      </c>
      <c r="P81" s="55">
        <f t="shared" si="67"/>
        <v>1791548172.75</v>
      </c>
      <c r="Q81" s="2"/>
    </row>
    <row r="82" spans="1:17" ht="15.75">
      <c r="A82" s="5"/>
      <c r="B82" s="53" t="s">
        <v>46</v>
      </c>
      <c r="C82" s="106"/>
      <c r="D82" s="195">
        <f>75250000+23915641+13546956</f>
        <v>112712597</v>
      </c>
      <c r="E82" s="196">
        <f>15613260+75250000+21095037</f>
        <v>111958297</v>
      </c>
      <c r="F82" s="196">
        <f>15737630+15600000+75250000+23089227</f>
        <v>129676857</v>
      </c>
      <c r="G82" s="196">
        <f>9092920+75250000+23772483</f>
        <v>108115403</v>
      </c>
      <c r="H82" s="196">
        <f>11165000+75250000+25590445</f>
        <v>112005445</v>
      </c>
      <c r="I82" s="196"/>
      <c r="J82" s="196"/>
      <c r="K82" s="196"/>
      <c r="L82" s="196"/>
      <c r="M82" s="196"/>
      <c r="N82" s="196"/>
      <c r="O82" s="196"/>
      <c r="P82" s="197"/>
      <c r="Q82" s="2"/>
    </row>
    <row r="83" spans="1:17" ht="15.75">
      <c r="A83" s="5"/>
      <c r="B83" s="49" t="s">
        <v>74</v>
      </c>
      <c r="C83" s="106"/>
      <c r="D83" s="13">
        <v>18000000</v>
      </c>
      <c r="E83" s="13">
        <v>18000000</v>
      </c>
      <c r="F83" s="13">
        <v>18000000</v>
      </c>
      <c r="G83" s="13">
        <v>18000000</v>
      </c>
      <c r="H83" s="13">
        <v>18000000</v>
      </c>
      <c r="I83" s="13">
        <v>18000000</v>
      </c>
      <c r="J83" s="13">
        <v>18000000</v>
      </c>
      <c r="K83" s="13">
        <v>18000000</v>
      </c>
      <c r="L83" s="13">
        <v>18000000</v>
      </c>
      <c r="M83" s="13">
        <v>18000000</v>
      </c>
      <c r="N83" s="13">
        <v>18000000</v>
      </c>
      <c r="O83" s="13">
        <v>18000000</v>
      </c>
      <c r="P83" s="34">
        <f t="shared" ref="P83:P88" si="68">SUM(D83:O83)</f>
        <v>216000000</v>
      </c>
      <c r="Q83" s="2"/>
    </row>
    <row r="84" spans="1:17" ht="15.75">
      <c r="A84" s="5"/>
      <c r="B84" s="49" t="s">
        <v>48</v>
      </c>
      <c r="C84" s="106">
        <v>3.5000000000000003E-2</v>
      </c>
      <c r="D84" s="13">
        <f t="shared" ref="D84:O84" si="69">$C$84*D16</f>
        <v>81293625.000000015</v>
      </c>
      <c r="E84" s="16">
        <f t="shared" si="69"/>
        <v>62578404.000000007</v>
      </c>
      <c r="F84" s="16">
        <f t="shared" si="69"/>
        <v>68927229</v>
      </c>
      <c r="G84" s="16">
        <f t="shared" si="69"/>
        <v>68697720</v>
      </c>
      <c r="H84" s="16">
        <f t="shared" si="69"/>
        <v>73075401</v>
      </c>
      <c r="I84" s="16">
        <f t="shared" si="69"/>
        <v>71738257.5</v>
      </c>
      <c r="J84" s="16">
        <f t="shared" si="69"/>
        <v>75190500</v>
      </c>
      <c r="K84" s="16">
        <f t="shared" si="69"/>
        <v>76258302.75</v>
      </c>
      <c r="L84" s="16">
        <f t="shared" si="69"/>
        <v>74838330</v>
      </c>
      <c r="M84" s="16">
        <f t="shared" si="69"/>
        <v>78414414.750000015</v>
      </c>
      <c r="N84" s="16">
        <f t="shared" si="69"/>
        <v>76938120</v>
      </c>
      <c r="O84" s="16">
        <f t="shared" si="69"/>
        <v>80597868.750000015</v>
      </c>
      <c r="P84" s="34">
        <f t="shared" si="68"/>
        <v>888548172.75</v>
      </c>
      <c r="Q84" s="2"/>
    </row>
    <row r="85" spans="1:17" ht="15.75">
      <c r="A85" s="5"/>
      <c r="B85" s="49" t="s">
        <v>63</v>
      </c>
      <c r="C85" s="106">
        <v>0.01</v>
      </c>
      <c r="D85" s="13">
        <f t="shared" ref="D85:O85" si="70">$C$85*D16</f>
        <v>23226750</v>
      </c>
      <c r="E85" s="16">
        <f t="shared" si="70"/>
        <v>17879544</v>
      </c>
      <c r="F85" s="16">
        <f t="shared" si="70"/>
        <v>19693494</v>
      </c>
      <c r="G85" s="16">
        <f t="shared" si="70"/>
        <v>19627920</v>
      </c>
      <c r="H85" s="16">
        <f t="shared" si="70"/>
        <v>20878686</v>
      </c>
      <c r="I85" s="16">
        <f t="shared" si="70"/>
        <v>20496645</v>
      </c>
      <c r="J85" s="16">
        <f t="shared" si="70"/>
        <v>21483000</v>
      </c>
      <c r="K85" s="16">
        <f t="shared" si="70"/>
        <v>21788086.5</v>
      </c>
      <c r="L85" s="16">
        <f t="shared" si="70"/>
        <v>21382380</v>
      </c>
      <c r="M85" s="16">
        <f t="shared" si="70"/>
        <v>22404118.5</v>
      </c>
      <c r="N85" s="16">
        <f t="shared" si="70"/>
        <v>21982320</v>
      </c>
      <c r="O85" s="16">
        <f t="shared" si="70"/>
        <v>23027962.5</v>
      </c>
      <c r="P85" s="34">
        <f t="shared" si="68"/>
        <v>253870906.5</v>
      </c>
      <c r="Q85" s="2"/>
    </row>
    <row r="86" spans="1:17" ht="15.75">
      <c r="A86" s="5"/>
      <c r="B86" s="49" t="s">
        <v>94</v>
      </c>
      <c r="C86" s="106"/>
      <c r="D86" s="13">
        <v>80000000</v>
      </c>
      <c r="E86" s="13">
        <v>80000000</v>
      </c>
      <c r="F86" s="13">
        <v>80000000</v>
      </c>
      <c r="G86" s="13">
        <v>80000000</v>
      </c>
      <c r="H86" s="13">
        <v>80000000</v>
      </c>
      <c r="I86" s="13">
        <v>80000000</v>
      </c>
      <c r="J86" s="13">
        <v>80000000</v>
      </c>
      <c r="K86" s="13">
        <v>80000000</v>
      </c>
      <c r="L86" s="13">
        <v>80000000</v>
      </c>
      <c r="M86" s="13">
        <v>80000000</v>
      </c>
      <c r="N86" s="13">
        <v>80000000</v>
      </c>
      <c r="O86" s="13">
        <v>80000000</v>
      </c>
      <c r="P86" s="34">
        <f t="shared" si="68"/>
        <v>960000000</v>
      </c>
      <c r="Q86" s="2"/>
    </row>
    <row r="87" spans="1:17" ht="15.75">
      <c r="A87" s="5"/>
      <c r="B87" s="49" t="s">
        <v>49</v>
      </c>
      <c r="C87" s="106">
        <v>1.4999999999999999E-2</v>
      </c>
      <c r="D87" s="13">
        <f t="shared" ref="D87:O87" si="71">$C$87*D16</f>
        <v>34840125</v>
      </c>
      <c r="E87" s="16">
        <f t="shared" si="71"/>
        <v>26819316</v>
      </c>
      <c r="F87" s="16">
        <f t="shared" si="71"/>
        <v>29540241</v>
      </c>
      <c r="G87" s="16">
        <f t="shared" si="71"/>
        <v>29441880</v>
      </c>
      <c r="H87" s="16">
        <f t="shared" si="71"/>
        <v>31318029</v>
      </c>
      <c r="I87" s="16">
        <f t="shared" si="71"/>
        <v>30744967.5</v>
      </c>
      <c r="J87" s="16">
        <f t="shared" si="71"/>
        <v>32224500</v>
      </c>
      <c r="K87" s="16">
        <f t="shared" si="71"/>
        <v>32682129.75</v>
      </c>
      <c r="L87" s="16">
        <f t="shared" si="71"/>
        <v>32073570</v>
      </c>
      <c r="M87" s="16">
        <f t="shared" si="71"/>
        <v>33606177.75</v>
      </c>
      <c r="N87" s="16">
        <f t="shared" si="71"/>
        <v>32973480</v>
      </c>
      <c r="O87" s="16">
        <f t="shared" si="71"/>
        <v>34541943.75</v>
      </c>
      <c r="P87" s="34">
        <f t="shared" si="68"/>
        <v>380806359.75</v>
      </c>
      <c r="Q87" s="2"/>
    </row>
    <row r="88" spans="1:17" ht="15.75">
      <c r="A88" s="5"/>
      <c r="B88" s="49" t="s">
        <v>60</v>
      </c>
      <c r="C88" s="106">
        <v>0.01</v>
      </c>
      <c r="D88" s="13">
        <f t="shared" ref="D88:O88" si="72">$C$88*D16</f>
        <v>23226750</v>
      </c>
      <c r="E88" s="16">
        <f t="shared" si="72"/>
        <v>17879544</v>
      </c>
      <c r="F88" s="16">
        <f t="shared" si="72"/>
        <v>19693494</v>
      </c>
      <c r="G88" s="16">
        <f t="shared" si="72"/>
        <v>19627920</v>
      </c>
      <c r="H88" s="16">
        <f t="shared" si="72"/>
        <v>20878686</v>
      </c>
      <c r="I88" s="16">
        <f t="shared" si="72"/>
        <v>20496645</v>
      </c>
      <c r="J88" s="16">
        <f t="shared" si="72"/>
        <v>21483000</v>
      </c>
      <c r="K88" s="16">
        <f t="shared" si="72"/>
        <v>21788086.5</v>
      </c>
      <c r="L88" s="16">
        <f t="shared" si="72"/>
        <v>21382380</v>
      </c>
      <c r="M88" s="16">
        <f t="shared" si="72"/>
        <v>22404118.5</v>
      </c>
      <c r="N88" s="16">
        <f t="shared" si="72"/>
        <v>21982320</v>
      </c>
      <c r="O88" s="16">
        <f t="shared" si="72"/>
        <v>23027962.5</v>
      </c>
      <c r="P88" s="34">
        <f t="shared" si="68"/>
        <v>253870906.5</v>
      </c>
      <c r="Q88" s="2"/>
    </row>
    <row r="89" spans="1:17" ht="15.75">
      <c r="A89" s="5"/>
      <c r="B89" s="49"/>
      <c r="C89" s="106"/>
      <c r="D89" s="47">
        <f>SUM(D83:D88)</f>
        <v>260587250</v>
      </c>
      <c r="E89" s="64">
        <f t="shared" ref="E89:P89" si="73">SUM(E83:E88)</f>
        <v>223156808</v>
      </c>
      <c r="F89" s="64">
        <f t="shared" si="73"/>
        <v>235854458</v>
      </c>
      <c r="G89" s="64">
        <f t="shared" si="73"/>
        <v>235395440</v>
      </c>
      <c r="H89" s="64">
        <f t="shared" si="73"/>
        <v>244150802</v>
      </c>
      <c r="I89" s="64">
        <f t="shared" si="73"/>
        <v>241476515</v>
      </c>
      <c r="J89" s="64">
        <f t="shared" si="73"/>
        <v>248381000</v>
      </c>
      <c r="K89" s="64">
        <f t="shared" si="73"/>
        <v>250516605.5</v>
      </c>
      <c r="L89" s="64">
        <f t="shared" si="73"/>
        <v>247676660</v>
      </c>
      <c r="M89" s="64">
        <f t="shared" si="73"/>
        <v>254828829.5</v>
      </c>
      <c r="N89" s="64">
        <f t="shared" si="73"/>
        <v>251876240</v>
      </c>
      <c r="O89" s="64">
        <f t="shared" si="73"/>
        <v>259195737.5</v>
      </c>
      <c r="P89" s="56">
        <f t="shared" si="73"/>
        <v>2953096345.5</v>
      </c>
      <c r="Q89" s="2"/>
    </row>
    <row r="90" spans="1:17" ht="15.75">
      <c r="A90" s="5"/>
      <c r="B90" s="49"/>
      <c r="C90" s="106"/>
      <c r="D90" s="195">
        <f>217846057+95800241-75250000-23915641</f>
        <v>214480657</v>
      </c>
      <c r="E90" s="196">
        <f>206718929+97866023-75250000-21695037</f>
        <v>207639915</v>
      </c>
      <c r="F90" s="196">
        <f>209073657+142160902-75250000-2308927</f>
        <v>273675632</v>
      </c>
      <c r="G90" s="196">
        <f>219133173+183963808-75250000-23772483</f>
        <v>304074498</v>
      </c>
      <c r="H90" s="196">
        <f>223737125+94993619-25580445-75250000</f>
        <v>217900299</v>
      </c>
      <c r="I90" s="196"/>
      <c r="J90" s="196"/>
      <c r="K90" s="196"/>
      <c r="L90" s="196"/>
      <c r="M90" s="196"/>
      <c r="N90" s="196"/>
      <c r="O90" s="196"/>
      <c r="P90" s="196"/>
      <c r="Q90" s="2"/>
    </row>
    <row r="91" spans="1:17" ht="16.5" thickBot="1">
      <c r="A91" s="5"/>
      <c r="B91" s="57" t="s">
        <v>108</v>
      </c>
      <c r="C91" s="163">
        <v>0.2</v>
      </c>
      <c r="D91" s="149">
        <f>D76+D81+D89</f>
        <v>544878000</v>
      </c>
      <c r="E91" s="149">
        <f t="shared" ref="E91:O91" si="74">E76+E81+E89</f>
        <v>459322704</v>
      </c>
      <c r="F91" s="149">
        <f t="shared" si="74"/>
        <v>488345904</v>
      </c>
      <c r="G91" s="149">
        <f t="shared" si="74"/>
        <v>487296720</v>
      </c>
      <c r="H91" s="149">
        <f t="shared" si="74"/>
        <v>507308976</v>
      </c>
      <c r="I91" s="149">
        <f t="shared" si="74"/>
        <v>501196320</v>
      </c>
      <c r="J91" s="149">
        <f t="shared" si="74"/>
        <v>516978000</v>
      </c>
      <c r="K91" s="149">
        <f t="shared" si="74"/>
        <v>521859384</v>
      </c>
      <c r="L91" s="149">
        <f t="shared" si="74"/>
        <v>515368080</v>
      </c>
      <c r="M91" s="149">
        <f t="shared" si="74"/>
        <v>531715896</v>
      </c>
      <c r="N91" s="149">
        <f t="shared" si="74"/>
        <v>524967120</v>
      </c>
      <c r="O91" s="149">
        <f t="shared" si="74"/>
        <v>541697400</v>
      </c>
      <c r="P91" s="149">
        <f>P76+P81+P89</f>
        <v>6140934504</v>
      </c>
      <c r="Q91" s="2"/>
    </row>
    <row r="92" spans="1:17" ht="17.25" thickTop="1" thickBot="1">
      <c r="A92" s="5"/>
      <c r="B92" s="58"/>
      <c r="C92" s="164"/>
      <c r="D92" s="167">
        <f>185280043+13546956+27955245+95800051+217846055</f>
        <v>540428350</v>
      </c>
      <c r="E92" s="167">
        <f>34944672+206718929+189352275+13546956+97866023</f>
        <v>542428855</v>
      </c>
      <c r="F92" s="167">
        <f>25882019+209013657+173193601+15643260+142160902</f>
        <v>565893439</v>
      </c>
      <c r="G92" s="167">
        <f>32811871+219133173+197377364+9092920+183963808</f>
        <v>642379136</v>
      </c>
      <c r="H92" s="167">
        <f>H77+H82+H90</f>
        <v>530920416</v>
      </c>
      <c r="I92" s="167"/>
      <c r="J92" s="167"/>
      <c r="K92" s="167"/>
      <c r="L92" s="167"/>
      <c r="M92" s="167"/>
      <c r="N92" s="167"/>
      <c r="O92" s="167"/>
      <c r="P92" s="167"/>
      <c r="Q92" s="2"/>
    </row>
    <row r="93" spans="1:17" ht="17.25" thickTop="1" thickBot="1">
      <c r="A93" s="5"/>
      <c r="B93" s="46"/>
      <c r="C93" s="172">
        <v>0.4</v>
      </c>
      <c r="D93" s="166">
        <f t="shared" ref="D93:P93" si="75">D91/D16</f>
        <v>0.23459071975201007</v>
      </c>
      <c r="E93" s="166">
        <f t="shared" si="75"/>
        <v>0.25689844438985693</v>
      </c>
      <c r="F93" s="166">
        <f t="shared" si="75"/>
        <v>0.24797321592603119</v>
      </c>
      <c r="G93" s="166">
        <f t="shared" si="75"/>
        <v>0.24826712152892411</v>
      </c>
      <c r="H93" s="166">
        <f t="shared" si="75"/>
        <v>0.24297935990799421</v>
      </c>
      <c r="I93" s="166">
        <f t="shared" si="75"/>
        <v>0.2445260285280835</v>
      </c>
      <c r="J93" s="166">
        <f t="shared" si="75"/>
        <v>0.24064516129032257</v>
      </c>
      <c r="K93" s="166">
        <f t="shared" si="75"/>
        <v>0.23951593179144023</v>
      </c>
      <c r="L93" s="166">
        <f t="shared" si="75"/>
        <v>0.24102465675009049</v>
      </c>
      <c r="M93" s="166">
        <f t="shared" si="75"/>
        <v>0.23732953206795437</v>
      </c>
      <c r="N93" s="166">
        <f t="shared" si="75"/>
        <v>0.23881333726376469</v>
      </c>
      <c r="O93" s="166">
        <f t="shared" si="75"/>
        <v>0.23523461964991474</v>
      </c>
      <c r="P93" s="166">
        <f t="shared" si="75"/>
        <v>0.24189201467242566</v>
      </c>
      <c r="Q93" s="2"/>
    </row>
    <row r="94" spans="1:17" ht="16.5" thickTop="1">
      <c r="A94" s="5"/>
      <c r="B94" s="59" t="s">
        <v>50</v>
      </c>
      <c r="C94" s="165"/>
      <c r="D94" s="21">
        <f>D39-(D68+D91)</f>
        <v>234508687.5</v>
      </c>
      <c r="E94" s="21">
        <f t="shared" ref="E94:P94" si="76">E39-(E68+E91)</f>
        <v>-1204418</v>
      </c>
      <c r="F94" s="21">
        <f t="shared" si="76"/>
        <v>73318669.5</v>
      </c>
      <c r="G94" s="21">
        <f t="shared" si="76"/>
        <v>69754260</v>
      </c>
      <c r="H94" s="21">
        <f t="shared" si="76"/>
        <v>146631095.5</v>
      </c>
      <c r="I94" s="21">
        <f t="shared" si="76"/>
        <v>140291341.25</v>
      </c>
      <c r="J94" s="21">
        <f t="shared" si="76"/>
        <v>180728750</v>
      </c>
      <c r="K94" s="21">
        <f t="shared" si="76"/>
        <v>192944187.625</v>
      </c>
      <c r="L94" s="21">
        <f t="shared" si="76"/>
        <v>175755515</v>
      </c>
      <c r="M94" s="21">
        <f t="shared" si="76"/>
        <v>217608283.625</v>
      </c>
      <c r="N94" s="21">
        <f t="shared" si="76"/>
        <v>199774460</v>
      </c>
      <c r="O94" s="21">
        <f t="shared" si="76"/>
        <v>242583340.625</v>
      </c>
      <c r="P94" s="21">
        <f t="shared" si="76"/>
        <v>1872694172.625</v>
      </c>
      <c r="Q94" s="2"/>
    </row>
    <row r="95" spans="1:17" ht="16.5" thickBot="1">
      <c r="A95" s="5"/>
      <c r="B95" s="60" t="s">
        <v>51</v>
      </c>
      <c r="C95" s="45">
        <v>0.2</v>
      </c>
      <c r="D95" s="169">
        <f t="shared" ref="D95:P95" si="77">D94/D16</f>
        <v>0.10096491652943265</v>
      </c>
      <c r="E95" s="169">
        <f t="shared" si="77"/>
        <v>-6.7362903662420022E-4</v>
      </c>
      <c r="F95" s="169">
        <f t="shared" si="77"/>
        <v>3.722989404521107E-2</v>
      </c>
      <c r="G95" s="169">
        <f t="shared" si="77"/>
        <v>3.5538284240000981E-2</v>
      </c>
      <c r="H95" s="169">
        <f t="shared" si="77"/>
        <v>7.0230040099266783E-2</v>
      </c>
      <c r="I95" s="169">
        <f t="shared" si="77"/>
        <v>6.8446002382341109E-2</v>
      </c>
      <c r="J95" s="169">
        <f t="shared" si="77"/>
        <v>8.4126402271563566E-2</v>
      </c>
      <c r="K95" s="169">
        <f t="shared" si="77"/>
        <v>8.8554902526662913E-2</v>
      </c>
      <c r="L95" s="169">
        <f t="shared" si="77"/>
        <v>8.2196422942628466E-2</v>
      </c>
      <c r="M95" s="169">
        <f t="shared" si="77"/>
        <v>9.7128696951410964E-2</v>
      </c>
      <c r="N95" s="169">
        <f t="shared" si="77"/>
        <v>9.0879606884077743E-2</v>
      </c>
      <c r="O95" s="169">
        <f t="shared" si="77"/>
        <v>0.10534294583161667</v>
      </c>
      <c r="P95" s="169">
        <f t="shared" si="77"/>
        <v>7.3765607821824203E-2</v>
      </c>
      <c r="Q95" s="2"/>
    </row>
    <row r="96" spans="1:17" ht="16.5" thickTop="1">
      <c r="A96" s="5"/>
      <c r="B96" s="191"/>
      <c r="C96" s="165"/>
      <c r="D96" s="137">
        <f>D43-(D92+D70)</f>
        <v>249912196</v>
      </c>
      <c r="E96" s="137">
        <f t="shared" ref="E96:P96" si="78">E43-(E92+E70)</f>
        <v>-246254222</v>
      </c>
      <c r="F96" s="137">
        <f t="shared" si="78"/>
        <v>-145508264</v>
      </c>
      <c r="G96" s="137">
        <f t="shared" si="78"/>
        <v>-87158663</v>
      </c>
      <c r="H96" s="137">
        <f t="shared" si="78"/>
        <v>166480378</v>
      </c>
      <c r="I96" s="137">
        <f t="shared" si="78"/>
        <v>1974837816</v>
      </c>
      <c r="J96" s="137">
        <f t="shared" si="78"/>
        <v>0</v>
      </c>
      <c r="K96" s="137">
        <f t="shared" si="78"/>
        <v>0</v>
      </c>
      <c r="L96" s="137">
        <f t="shared" si="78"/>
        <v>0</v>
      </c>
      <c r="M96" s="137">
        <f t="shared" si="78"/>
        <v>0</v>
      </c>
      <c r="N96" s="137">
        <f t="shared" si="78"/>
        <v>0</v>
      </c>
      <c r="O96" s="137">
        <f t="shared" si="78"/>
        <v>0</v>
      </c>
      <c r="P96" s="137">
        <f t="shared" si="78"/>
        <v>0</v>
      </c>
      <c r="Q96" s="84"/>
    </row>
    <row r="97" spans="1:17" ht="16.5" thickBot="1">
      <c r="A97" s="5"/>
      <c r="B97" s="190"/>
      <c r="C97" s="44"/>
      <c r="D97" s="192">
        <f>D96/D18</f>
        <v>0.10982214953759865</v>
      </c>
      <c r="E97" s="192">
        <f t="shared" ref="E97:H97" si="79">E96/E18</f>
        <v>-0.15030963464448752</v>
      </c>
      <c r="F97" s="192">
        <f t="shared" si="79"/>
        <v>-8.1904554074411676E-2</v>
      </c>
      <c r="G97" s="192">
        <f t="shared" si="79"/>
        <v>-4.6825229759994466E-2</v>
      </c>
      <c r="H97" s="192">
        <f t="shared" si="79"/>
        <v>7.4502812674608995E-2</v>
      </c>
      <c r="I97" s="192"/>
      <c r="J97" s="192"/>
      <c r="K97" s="192"/>
      <c r="L97" s="192"/>
      <c r="M97" s="192"/>
      <c r="N97" s="192"/>
      <c r="O97" s="192"/>
      <c r="P97" s="193"/>
      <c r="Q97" s="84"/>
    </row>
    <row r="98" spans="1:17" ht="16.5" thickTop="1">
      <c r="A98" s="5"/>
      <c r="B98" s="6"/>
      <c r="C98" s="10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61"/>
      <c r="Q98" s="1"/>
    </row>
    <row r="99" spans="1:17" ht="15.75">
      <c r="A99" s="5"/>
      <c r="B99" s="6"/>
      <c r="C99" s="109"/>
      <c r="D99" s="47"/>
      <c r="E99" s="47"/>
      <c r="F99" s="47"/>
      <c r="G99" s="47"/>
      <c r="H99" s="47"/>
      <c r="I99" s="47">
        <v>1637679070</v>
      </c>
      <c r="J99" s="47"/>
      <c r="K99" s="47"/>
      <c r="L99" s="47"/>
      <c r="M99" s="47"/>
      <c r="N99" s="47"/>
      <c r="O99" s="47"/>
      <c r="P99" s="47"/>
      <c r="Q99" s="1"/>
    </row>
    <row r="100" spans="1:17" ht="15.75">
      <c r="A100" s="5"/>
      <c r="B100" s="6" t="s">
        <v>68</v>
      </c>
      <c r="C100" s="145"/>
      <c r="D100" s="65"/>
      <c r="E100" s="65"/>
      <c r="F100" s="65"/>
      <c r="G100" s="65"/>
      <c r="H100" s="65"/>
      <c r="I100" s="65">
        <f>I99/21</f>
        <v>77984717.619047612</v>
      </c>
      <c r="J100" s="65"/>
      <c r="K100" s="65"/>
      <c r="L100" s="65"/>
      <c r="M100" s="65"/>
      <c r="N100" s="65"/>
      <c r="O100" s="65"/>
      <c r="P100" s="13"/>
      <c r="Q100" s="1"/>
    </row>
    <row r="101" spans="1:17" ht="15.75">
      <c r="A101" s="5"/>
      <c r="B101" s="5"/>
      <c r="C101" s="146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1"/>
      <c r="O101" s="1"/>
    </row>
    <row r="102" spans="1:17" ht="15.75">
      <c r="A102" s="5"/>
      <c r="B102" s="9" t="s">
        <v>89</v>
      </c>
      <c r="C102" s="178"/>
      <c r="D102" s="10">
        <v>2026</v>
      </c>
      <c r="E102" s="133">
        <f>D102+1</f>
        <v>2027</v>
      </c>
      <c r="F102" s="133">
        <f>E102+1</f>
        <v>2028</v>
      </c>
      <c r="G102" s="133">
        <f>F102+1</f>
        <v>2029</v>
      </c>
      <c r="H102" s="133">
        <f t="shared" ref="H102:M102" si="80">G102+1</f>
        <v>2030</v>
      </c>
      <c r="I102" s="133">
        <f t="shared" si="80"/>
        <v>2031</v>
      </c>
      <c r="J102" s="133">
        <f t="shared" si="80"/>
        <v>2032</v>
      </c>
      <c r="K102" s="133">
        <f t="shared" si="80"/>
        <v>2033</v>
      </c>
      <c r="L102" s="133">
        <f t="shared" si="80"/>
        <v>2034</v>
      </c>
      <c r="M102" s="68">
        <f t="shared" si="80"/>
        <v>2035</v>
      </c>
      <c r="N102" s="63"/>
      <c r="O102" s="1"/>
    </row>
    <row r="103" spans="1:17" ht="15.75">
      <c r="A103" s="5"/>
      <c r="B103" s="9"/>
      <c r="C103" s="179"/>
      <c r="D103" s="10">
        <v>360</v>
      </c>
      <c r="E103" s="62">
        <v>360</v>
      </c>
      <c r="F103" s="62">
        <v>360</v>
      </c>
      <c r="G103" s="62">
        <v>360</v>
      </c>
      <c r="H103" s="62">
        <v>360</v>
      </c>
      <c r="I103" s="62">
        <v>360</v>
      </c>
      <c r="J103" s="62">
        <v>360</v>
      </c>
      <c r="K103" s="62">
        <v>360</v>
      </c>
      <c r="L103" s="62">
        <v>360</v>
      </c>
      <c r="M103" s="10">
        <v>360</v>
      </c>
      <c r="N103" s="63"/>
      <c r="O103" s="1"/>
    </row>
    <row r="104" spans="1:17" ht="15.75">
      <c r="A104" s="5"/>
      <c r="B104" s="46" t="s">
        <v>12</v>
      </c>
      <c r="C104" s="147"/>
      <c r="D104" s="34"/>
      <c r="E104" s="16"/>
      <c r="F104" s="16"/>
      <c r="G104" s="16"/>
      <c r="H104" s="16"/>
      <c r="I104" s="16"/>
      <c r="J104" s="16"/>
      <c r="K104" s="16"/>
      <c r="L104" s="16"/>
      <c r="M104" s="34"/>
      <c r="N104" s="63"/>
      <c r="O104" s="1"/>
    </row>
    <row r="105" spans="1:17" ht="15.75">
      <c r="A105" s="5"/>
      <c r="B105" s="69" t="s">
        <v>13</v>
      </c>
      <c r="C105" s="113"/>
      <c r="D105" s="34"/>
      <c r="E105" s="131"/>
      <c r="F105" s="16"/>
      <c r="G105" s="16"/>
      <c r="H105" s="16"/>
      <c r="I105" s="16"/>
      <c r="J105" s="16"/>
      <c r="K105" s="16"/>
      <c r="L105" s="16"/>
      <c r="M105" s="34"/>
      <c r="N105" s="63"/>
      <c r="O105" s="1"/>
    </row>
    <row r="106" spans="1:17" ht="15.75">
      <c r="A106" s="5"/>
      <c r="B106" s="18" t="s">
        <v>92</v>
      </c>
      <c r="C106" s="113"/>
      <c r="D106" s="34">
        <v>200</v>
      </c>
      <c r="E106" s="16">
        <v>210</v>
      </c>
      <c r="F106" s="16">
        <v>220</v>
      </c>
      <c r="G106" s="16">
        <v>250</v>
      </c>
      <c r="H106" s="16">
        <f t="shared" ref="H106" si="81">G106+50</f>
        <v>300</v>
      </c>
      <c r="I106" s="16">
        <f>H106+20</f>
        <v>320</v>
      </c>
      <c r="J106" s="16">
        <f t="shared" ref="J106:M106" si="82">I106+20</f>
        <v>340</v>
      </c>
      <c r="K106" s="16">
        <f t="shared" si="82"/>
        <v>360</v>
      </c>
      <c r="L106" s="16">
        <f t="shared" si="82"/>
        <v>380</v>
      </c>
      <c r="M106" s="16">
        <f t="shared" si="82"/>
        <v>400</v>
      </c>
      <c r="N106" s="63"/>
      <c r="O106" s="1"/>
    </row>
    <row r="107" spans="1:17" ht="15.75">
      <c r="A107" s="5"/>
      <c r="B107" s="18" t="s">
        <v>67</v>
      </c>
      <c r="C107" s="113"/>
      <c r="D107" s="34">
        <f>P8</f>
        <v>54989</v>
      </c>
      <c r="E107" s="16">
        <f t="shared" ref="E107:M107" si="83">E103*E106</f>
        <v>75600</v>
      </c>
      <c r="F107" s="16">
        <f t="shared" si="83"/>
        <v>79200</v>
      </c>
      <c r="G107" s="16">
        <f t="shared" si="83"/>
        <v>90000</v>
      </c>
      <c r="H107" s="16">
        <f t="shared" si="83"/>
        <v>108000</v>
      </c>
      <c r="I107" s="16">
        <f t="shared" si="83"/>
        <v>115200</v>
      </c>
      <c r="J107" s="16">
        <f t="shared" si="83"/>
        <v>122400</v>
      </c>
      <c r="K107" s="16">
        <f t="shared" si="83"/>
        <v>129600</v>
      </c>
      <c r="L107" s="16">
        <f t="shared" si="83"/>
        <v>136800</v>
      </c>
      <c r="M107" s="34">
        <f t="shared" si="83"/>
        <v>144000</v>
      </c>
      <c r="N107" s="63"/>
      <c r="O107" s="1"/>
    </row>
    <row r="108" spans="1:17" ht="15.75">
      <c r="A108" s="5"/>
      <c r="B108" s="18" t="s">
        <v>16</v>
      </c>
      <c r="C108" s="113"/>
      <c r="D108" s="34">
        <f>P9</f>
        <v>421666.66666666669</v>
      </c>
      <c r="E108" s="16">
        <v>420000</v>
      </c>
      <c r="F108" s="16">
        <f t="shared" ref="F108:M108" si="84">E108+10000</f>
        <v>430000</v>
      </c>
      <c r="G108" s="16">
        <f t="shared" si="84"/>
        <v>440000</v>
      </c>
      <c r="H108" s="16">
        <f t="shared" si="84"/>
        <v>450000</v>
      </c>
      <c r="I108" s="16">
        <f t="shared" si="84"/>
        <v>460000</v>
      </c>
      <c r="J108" s="16">
        <f t="shared" si="84"/>
        <v>470000</v>
      </c>
      <c r="K108" s="16">
        <f t="shared" si="84"/>
        <v>480000</v>
      </c>
      <c r="L108" s="16">
        <f t="shared" si="84"/>
        <v>490000</v>
      </c>
      <c r="M108" s="34">
        <f t="shared" si="84"/>
        <v>500000</v>
      </c>
      <c r="N108" s="63"/>
      <c r="O108" s="1"/>
    </row>
    <row r="109" spans="1:17" ht="15.75">
      <c r="A109" s="5"/>
      <c r="B109" s="18" t="s">
        <v>17</v>
      </c>
      <c r="C109" s="113"/>
      <c r="D109" s="34">
        <f>P10</f>
        <v>23180782500</v>
      </c>
      <c r="E109" s="16">
        <f>E107*E108</f>
        <v>31752000000</v>
      </c>
      <c r="F109" s="16">
        <f t="shared" ref="F109:M109" si="85">F107*F108</f>
        <v>34056000000</v>
      </c>
      <c r="G109" s="16">
        <f t="shared" si="85"/>
        <v>39600000000</v>
      </c>
      <c r="H109" s="16">
        <f t="shared" si="85"/>
        <v>48600000000</v>
      </c>
      <c r="I109" s="16">
        <f t="shared" si="85"/>
        <v>52992000000</v>
      </c>
      <c r="J109" s="16">
        <f t="shared" si="85"/>
        <v>57528000000</v>
      </c>
      <c r="K109" s="16">
        <f t="shared" si="85"/>
        <v>62208000000</v>
      </c>
      <c r="L109" s="16">
        <f t="shared" si="85"/>
        <v>67032000000</v>
      </c>
      <c r="M109" s="34">
        <f t="shared" si="85"/>
        <v>72000000000</v>
      </c>
      <c r="N109" s="63"/>
      <c r="O109" s="1"/>
    </row>
    <row r="110" spans="1:17" ht="15.75">
      <c r="A110" s="5"/>
      <c r="B110" s="18" t="s">
        <v>93</v>
      </c>
      <c r="C110" s="113"/>
      <c r="D110" s="34">
        <v>80</v>
      </c>
      <c r="E110" s="16">
        <v>85</v>
      </c>
      <c r="F110" s="16">
        <f t="shared" ref="F110:M110" si="86">E110+1</f>
        <v>86</v>
      </c>
      <c r="G110" s="16">
        <f t="shared" si="86"/>
        <v>87</v>
      </c>
      <c r="H110" s="16">
        <f t="shared" si="86"/>
        <v>88</v>
      </c>
      <c r="I110" s="16">
        <f t="shared" si="86"/>
        <v>89</v>
      </c>
      <c r="J110" s="16">
        <f t="shared" si="86"/>
        <v>90</v>
      </c>
      <c r="K110" s="16">
        <f t="shared" si="86"/>
        <v>91</v>
      </c>
      <c r="L110" s="16">
        <f t="shared" si="86"/>
        <v>92</v>
      </c>
      <c r="M110" s="34">
        <f t="shared" si="86"/>
        <v>93</v>
      </c>
      <c r="N110" s="63"/>
      <c r="O110" s="1"/>
    </row>
    <row r="111" spans="1:17" ht="15.75">
      <c r="A111" s="5"/>
      <c r="B111" s="18" t="s">
        <v>93</v>
      </c>
      <c r="C111" s="113"/>
      <c r="D111" s="34">
        <f>P12</f>
        <v>21479</v>
      </c>
      <c r="E111" s="16">
        <f t="shared" ref="E111:M111" si="87">E103*E110</f>
        <v>30600</v>
      </c>
      <c r="F111" s="16">
        <f t="shared" si="87"/>
        <v>30960</v>
      </c>
      <c r="G111" s="16">
        <f t="shared" si="87"/>
        <v>31320</v>
      </c>
      <c r="H111" s="16">
        <f t="shared" si="87"/>
        <v>31680</v>
      </c>
      <c r="I111" s="16">
        <f t="shared" si="87"/>
        <v>32040</v>
      </c>
      <c r="J111" s="16">
        <f t="shared" si="87"/>
        <v>32400</v>
      </c>
      <c r="K111" s="16">
        <f t="shared" si="87"/>
        <v>32760</v>
      </c>
      <c r="L111" s="16">
        <f t="shared" si="87"/>
        <v>33120</v>
      </c>
      <c r="M111" s="34">
        <f t="shared" si="87"/>
        <v>33480</v>
      </c>
      <c r="N111" s="63"/>
      <c r="O111" s="1"/>
    </row>
    <row r="112" spans="1:17" ht="15.75">
      <c r="A112" s="5"/>
      <c r="B112" s="18" t="s">
        <v>16</v>
      </c>
      <c r="C112" s="113"/>
      <c r="D112" s="34">
        <f>P13</f>
        <v>233666.66666666666</v>
      </c>
      <c r="E112" s="16">
        <v>230000</v>
      </c>
      <c r="F112" s="16">
        <f>E112+5000</f>
        <v>235000</v>
      </c>
      <c r="G112" s="16">
        <f t="shared" ref="G112:M112" si="88">F112+5000</f>
        <v>240000</v>
      </c>
      <c r="H112" s="16">
        <f t="shared" si="88"/>
        <v>245000</v>
      </c>
      <c r="I112" s="16">
        <f t="shared" si="88"/>
        <v>250000</v>
      </c>
      <c r="J112" s="16">
        <f t="shared" si="88"/>
        <v>255000</v>
      </c>
      <c r="K112" s="16">
        <f t="shared" si="88"/>
        <v>260000</v>
      </c>
      <c r="L112" s="16">
        <f t="shared" si="88"/>
        <v>265000</v>
      </c>
      <c r="M112" s="16">
        <f t="shared" si="88"/>
        <v>270000</v>
      </c>
      <c r="N112" s="63"/>
      <c r="O112" s="1"/>
    </row>
    <row r="113" spans="1:15" ht="15.75">
      <c r="A113" s="5"/>
      <c r="B113" s="18" t="s">
        <v>17</v>
      </c>
      <c r="C113" s="83"/>
      <c r="D113" s="34">
        <f>P14</f>
        <v>5027096000</v>
      </c>
      <c r="E113" s="16">
        <f t="shared" ref="E113" si="89">E111*E112</f>
        <v>7038000000</v>
      </c>
      <c r="F113" s="16">
        <f t="shared" ref="F113:M113" si="90">F111*F112</f>
        <v>7275600000</v>
      </c>
      <c r="G113" s="16">
        <f t="shared" si="90"/>
        <v>7516800000</v>
      </c>
      <c r="H113" s="16">
        <f t="shared" si="90"/>
        <v>7761600000</v>
      </c>
      <c r="I113" s="16">
        <f t="shared" si="90"/>
        <v>8010000000</v>
      </c>
      <c r="J113" s="16">
        <f t="shared" si="90"/>
        <v>8262000000</v>
      </c>
      <c r="K113" s="16">
        <f t="shared" si="90"/>
        <v>8517600000</v>
      </c>
      <c r="L113" s="16">
        <f t="shared" si="90"/>
        <v>8776800000</v>
      </c>
      <c r="M113" s="34">
        <f t="shared" si="90"/>
        <v>9039600000</v>
      </c>
      <c r="N113" s="63"/>
      <c r="O113" s="1"/>
    </row>
    <row r="114" spans="1:15" ht="15.75">
      <c r="A114" s="5"/>
      <c r="B114" s="18" t="s">
        <v>101</v>
      </c>
      <c r="C114" s="113"/>
      <c r="D114" s="34"/>
      <c r="E114" s="16"/>
      <c r="F114" s="16"/>
      <c r="G114" s="16">
        <v>80</v>
      </c>
      <c r="H114" s="16">
        <f>G114+5</f>
        <v>85</v>
      </c>
      <c r="I114" s="16">
        <f t="shared" ref="I114:M114" si="91">H114+5</f>
        <v>90</v>
      </c>
      <c r="J114" s="16">
        <f t="shared" si="91"/>
        <v>95</v>
      </c>
      <c r="K114" s="16">
        <f t="shared" si="91"/>
        <v>100</v>
      </c>
      <c r="L114" s="16">
        <f t="shared" si="91"/>
        <v>105</v>
      </c>
      <c r="M114" s="16">
        <f t="shared" si="91"/>
        <v>110</v>
      </c>
      <c r="N114" s="63"/>
      <c r="O114" s="1"/>
    </row>
    <row r="115" spans="1:15" ht="15.75">
      <c r="A115" s="5"/>
      <c r="B115" s="18" t="s">
        <v>102</v>
      </c>
      <c r="C115" s="83"/>
      <c r="D115" s="34"/>
      <c r="E115" s="16"/>
      <c r="F115" s="16"/>
      <c r="G115" s="16">
        <f t="shared" ref="G115:M115" si="92">G103*G114</f>
        <v>28800</v>
      </c>
      <c r="H115" s="16">
        <f t="shared" si="92"/>
        <v>30600</v>
      </c>
      <c r="I115" s="16">
        <f t="shared" si="92"/>
        <v>32400</v>
      </c>
      <c r="J115" s="16">
        <f t="shared" si="92"/>
        <v>34200</v>
      </c>
      <c r="K115" s="16">
        <f t="shared" si="92"/>
        <v>36000</v>
      </c>
      <c r="L115" s="16">
        <f t="shared" si="92"/>
        <v>37800</v>
      </c>
      <c r="M115" s="34">
        <f t="shared" si="92"/>
        <v>39600</v>
      </c>
      <c r="N115" s="63"/>
      <c r="O115" s="1"/>
    </row>
    <row r="116" spans="1:15" ht="15.75">
      <c r="A116" s="5"/>
      <c r="B116" s="18" t="s">
        <v>16</v>
      </c>
      <c r="C116" s="83"/>
      <c r="D116" s="34"/>
      <c r="E116" s="16"/>
      <c r="F116" s="16"/>
      <c r="G116" s="16">
        <v>450000</v>
      </c>
      <c r="H116" s="16">
        <f>G116+10000</f>
        <v>460000</v>
      </c>
      <c r="I116" s="16">
        <f t="shared" ref="I116:M116" si="93">H116+10000</f>
        <v>470000</v>
      </c>
      <c r="J116" s="16">
        <f t="shared" si="93"/>
        <v>480000</v>
      </c>
      <c r="K116" s="16">
        <f t="shared" si="93"/>
        <v>490000</v>
      </c>
      <c r="L116" s="16">
        <f t="shared" si="93"/>
        <v>500000</v>
      </c>
      <c r="M116" s="34">
        <f t="shared" si="93"/>
        <v>510000</v>
      </c>
      <c r="N116" s="63"/>
      <c r="O116" s="1"/>
    </row>
    <row r="117" spans="1:15" ht="15.75">
      <c r="A117" s="5"/>
      <c r="B117" s="18" t="s">
        <v>17</v>
      </c>
      <c r="C117" s="83"/>
      <c r="D117" s="34"/>
      <c r="E117" s="16"/>
      <c r="F117" s="16"/>
      <c r="G117" s="16">
        <f t="shared" ref="G117:M117" si="94">G115*G116</f>
        <v>12960000000</v>
      </c>
      <c r="H117" s="16">
        <f t="shared" si="94"/>
        <v>14076000000</v>
      </c>
      <c r="I117" s="16">
        <f t="shared" si="94"/>
        <v>15228000000</v>
      </c>
      <c r="J117" s="16">
        <f t="shared" si="94"/>
        <v>16416000000</v>
      </c>
      <c r="K117" s="16">
        <f t="shared" si="94"/>
        <v>17640000000</v>
      </c>
      <c r="L117" s="16">
        <f t="shared" si="94"/>
        <v>18900000000</v>
      </c>
      <c r="M117" s="34">
        <f t="shared" si="94"/>
        <v>20196000000</v>
      </c>
      <c r="N117" s="63"/>
      <c r="O117" s="1"/>
    </row>
    <row r="118" spans="1:15" ht="16.5" thickBot="1">
      <c r="A118" s="5"/>
      <c r="B118" s="19" t="s">
        <v>103</v>
      </c>
      <c r="C118" s="115">
        <v>0.1</v>
      </c>
      <c r="D118" s="34">
        <f>P15</f>
        <v>-2820787850</v>
      </c>
      <c r="E118" s="132">
        <f t="shared" ref="E118:M118" si="95">-(E109+E113+E117)*$C$118</f>
        <v>-3879000000</v>
      </c>
      <c r="F118" s="132">
        <f t="shared" si="95"/>
        <v>-4133160000</v>
      </c>
      <c r="G118" s="132">
        <f t="shared" si="95"/>
        <v>-6007680000</v>
      </c>
      <c r="H118" s="132">
        <f t="shared" si="95"/>
        <v>-7043760000</v>
      </c>
      <c r="I118" s="132">
        <f t="shared" si="95"/>
        <v>-7623000000</v>
      </c>
      <c r="J118" s="132">
        <f t="shared" si="95"/>
        <v>-8220600000</v>
      </c>
      <c r="K118" s="132">
        <f t="shared" si="95"/>
        <v>-8836560000</v>
      </c>
      <c r="L118" s="132">
        <f t="shared" si="95"/>
        <v>-9470880000</v>
      </c>
      <c r="M118" s="134">
        <f t="shared" si="95"/>
        <v>-10123560000</v>
      </c>
      <c r="N118" s="63"/>
      <c r="O118" s="1"/>
    </row>
    <row r="119" spans="1:15" ht="16.5" thickTop="1">
      <c r="A119" s="5"/>
      <c r="B119" s="20" t="s">
        <v>52</v>
      </c>
      <c r="C119" s="165">
        <v>1</v>
      </c>
      <c r="D119" s="41">
        <f>P16</f>
        <v>25387090650</v>
      </c>
      <c r="E119" s="40">
        <f t="shared" ref="E119:M119" si="96">E109+E113+E117+E118</f>
        <v>34911000000</v>
      </c>
      <c r="F119" s="40">
        <f t="shared" si="96"/>
        <v>37198440000</v>
      </c>
      <c r="G119" s="40">
        <f t="shared" si="96"/>
        <v>54069120000</v>
      </c>
      <c r="H119" s="40">
        <f t="shared" si="96"/>
        <v>63393840000</v>
      </c>
      <c r="I119" s="40">
        <f t="shared" si="96"/>
        <v>68607000000</v>
      </c>
      <c r="J119" s="40">
        <f t="shared" si="96"/>
        <v>73985400000</v>
      </c>
      <c r="K119" s="40">
        <f t="shared" si="96"/>
        <v>79529040000</v>
      </c>
      <c r="L119" s="40">
        <f t="shared" si="96"/>
        <v>85237920000</v>
      </c>
      <c r="M119" s="41">
        <f t="shared" si="96"/>
        <v>91112040000</v>
      </c>
      <c r="N119" s="63"/>
      <c r="O119" s="1"/>
    </row>
    <row r="120" spans="1:15" ht="15.75">
      <c r="A120" s="5"/>
      <c r="B120" s="22" t="s">
        <v>19</v>
      </c>
      <c r="C120" s="21"/>
      <c r="D120" s="23">
        <f t="shared" ref="D120:M120" si="97">D124/D103</f>
        <v>85328832.462500006</v>
      </c>
      <c r="E120" s="21">
        <f t="shared" si="97"/>
        <v>117339750</v>
      </c>
      <c r="F120" s="21">
        <f t="shared" si="97"/>
        <v>125028090</v>
      </c>
      <c r="G120" s="21">
        <f t="shared" si="97"/>
        <v>181732320</v>
      </c>
      <c r="H120" s="21">
        <f t="shared" si="97"/>
        <v>213073740</v>
      </c>
      <c r="I120" s="21">
        <f t="shared" si="97"/>
        <v>230595750</v>
      </c>
      <c r="J120" s="21">
        <f t="shared" si="97"/>
        <v>248673150</v>
      </c>
      <c r="K120" s="21">
        <f t="shared" si="97"/>
        <v>267305940</v>
      </c>
      <c r="L120" s="21">
        <f t="shared" si="97"/>
        <v>286494120</v>
      </c>
      <c r="M120" s="23">
        <f t="shared" si="97"/>
        <v>306237690</v>
      </c>
      <c r="N120" s="63"/>
      <c r="O120" s="1"/>
    </row>
    <row r="121" spans="1:15" ht="15.75">
      <c r="A121" s="5"/>
      <c r="B121" s="22" t="s">
        <v>53</v>
      </c>
      <c r="C121" s="21"/>
      <c r="D121" s="23">
        <f>P22</f>
        <v>76468</v>
      </c>
      <c r="E121" s="21">
        <f t="shared" ref="E121:M121" si="98">E107+E111</f>
        <v>106200</v>
      </c>
      <c r="F121" s="21">
        <f t="shared" si="98"/>
        <v>110160</v>
      </c>
      <c r="G121" s="21">
        <f t="shared" si="98"/>
        <v>121320</v>
      </c>
      <c r="H121" s="21">
        <f t="shared" si="98"/>
        <v>139680</v>
      </c>
      <c r="I121" s="21">
        <f t="shared" si="98"/>
        <v>147240</v>
      </c>
      <c r="J121" s="21">
        <f t="shared" si="98"/>
        <v>154800</v>
      </c>
      <c r="K121" s="21">
        <f t="shared" si="98"/>
        <v>162360</v>
      </c>
      <c r="L121" s="21">
        <f t="shared" si="98"/>
        <v>169920</v>
      </c>
      <c r="M121" s="23">
        <f t="shared" si="98"/>
        <v>177480</v>
      </c>
      <c r="N121" s="63"/>
      <c r="O121" s="1"/>
    </row>
    <row r="122" spans="1:15" ht="15.75">
      <c r="A122" s="5"/>
      <c r="B122" s="22" t="s">
        <v>22</v>
      </c>
      <c r="C122" s="21">
        <f>P25</f>
        <v>0</v>
      </c>
      <c r="D122" s="21">
        <f t="shared" ref="D122:M122" si="99">D124/D121</f>
        <v>401715.48473217554</v>
      </c>
      <c r="E122" s="21">
        <f t="shared" si="99"/>
        <v>397761.86440677964</v>
      </c>
      <c r="F122" s="21">
        <f t="shared" si="99"/>
        <v>408588.5294117647</v>
      </c>
      <c r="G122" s="21">
        <f t="shared" si="99"/>
        <v>539265.04451038572</v>
      </c>
      <c r="H122" s="21">
        <f t="shared" si="99"/>
        <v>549159.12371134025</v>
      </c>
      <c r="I122" s="21">
        <f t="shared" si="99"/>
        <v>563803.78973105131</v>
      </c>
      <c r="J122" s="21">
        <f t="shared" si="99"/>
        <v>578309.65116279072</v>
      </c>
      <c r="K122" s="21">
        <f t="shared" si="99"/>
        <v>592696.09756097558</v>
      </c>
      <c r="L122" s="21">
        <f t="shared" si="99"/>
        <v>606979.06779661018</v>
      </c>
      <c r="M122" s="23">
        <f t="shared" si="99"/>
        <v>621171.78498985805</v>
      </c>
      <c r="N122" s="63"/>
      <c r="O122" s="1"/>
    </row>
    <row r="123" spans="1:15" ht="15.75">
      <c r="A123" s="5"/>
      <c r="B123" s="22" t="s">
        <v>54</v>
      </c>
      <c r="C123" s="170">
        <v>0.21</v>
      </c>
      <c r="D123" s="23">
        <f t="shared" ref="D123:M123" si="100">D119*$C$123</f>
        <v>5331289036.5</v>
      </c>
      <c r="E123" s="21">
        <f t="shared" si="100"/>
        <v>7331310000</v>
      </c>
      <c r="F123" s="21">
        <f t="shared" si="100"/>
        <v>7811672400</v>
      </c>
      <c r="G123" s="21">
        <f t="shared" si="100"/>
        <v>11354515200</v>
      </c>
      <c r="H123" s="21">
        <f t="shared" si="100"/>
        <v>13312706400</v>
      </c>
      <c r="I123" s="21">
        <f t="shared" si="100"/>
        <v>14407470000</v>
      </c>
      <c r="J123" s="21">
        <f t="shared" si="100"/>
        <v>15536934000</v>
      </c>
      <c r="K123" s="21">
        <f t="shared" si="100"/>
        <v>16701098400</v>
      </c>
      <c r="L123" s="21">
        <f t="shared" si="100"/>
        <v>17899963200</v>
      </c>
      <c r="M123" s="23">
        <f t="shared" si="100"/>
        <v>19133528400</v>
      </c>
      <c r="N123" s="63"/>
      <c r="O123" s="1"/>
    </row>
    <row r="124" spans="1:15" ht="16.5" thickBot="1">
      <c r="A124" s="5"/>
      <c r="B124" s="70" t="s">
        <v>24</v>
      </c>
      <c r="C124" s="171"/>
      <c r="D124" s="66">
        <f>D119+D123</f>
        <v>30718379686.5</v>
      </c>
      <c r="E124" s="149">
        <f>E119+E123</f>
        <v>42242310000</v>
      </c>
      <c r="F124" s="149">
        <f t="shared" ref="F124:M124" si="101">F119+F123</f>
        <v>45010112400</v>
      </c>
      <c r="G124" s="149">
        <f t="shared" si="101"/>
        <v>65423635200</v>
      </c>
      <c r="H124" s="149">
        <f t="shared" si="101"/>
        <v>76706546400</v>
      </c>
      <c r="I124" s="149">
        <f t="shared" si="101"/>
        <v>83014470000</v>
      </c>
      <c r="J124" s="149">
        <f t="shared" si="101"/>
        <v>89522334000</v>
      </c>
      <c r="K124" s="149">
        <f t="shared" si="101"/>
        <v>96230138400</v>
      </c>
      <c r="L124" s="149">
        <f t="shared" si="101"/>
        <v>103137883200</v>
      </c>
      <c r="M124" s="66">
        <f t="shared" si="101"/>
        <v>110245568400</v>
      </c>
      <c r="N124" s="63"/>
      <c r="O124" s="150"/>
    </row>
    <row r="125" spans="1:15" ht="16.5" thickTop="1">
      <c r="A125" s="5"/>
      <c r="B125" s="31" t="s">
        <v>25</v>
      </c>
      <c r="C125" s="120"/>
      <c r="D125" s="32"/>
      <c r="E125" s="136"/>
      <c r="F125" s="63"/>
      <c r="G125" s="63"/>
      <c r="H125" s="63"/>
      <c r="I125" s="63"/>
      <c r="J125" s="63"/>
      <c r="K125" s="63"/>
      <c r="L125" s="63"/>
      <c r="M125" s="54"/>
      <c r="N125" s="63"/>
      <c r="O125" s="1"/>
    </row>
    <row r="126" spans="1:15" ht="15.75">
      <c r="A126" s="5"/>
      <c r="B126" s="33" t="s">
        <v>26</v>
      </c>
      <c r="C126" s="120">
        <v>0.26</v>
      </c>
      <c r="D126" s="34">
        <f>P33</f>
        <v>6600643569</v>
      </c>
      <c r="E126" s="16">
        <f t="shared" ref="E126:M126" si="102">(E109+(E113*0.5)+(E117*0.5))*$C$126</f>
        <v>9170460000</v>
      </c>
      <c r="F126" s="16">
        <f t="shared" si="102"/>
        <v>9800388000</v>
      </c>
      <c r="G126" s="16">
        <f t="shared" si="102"/>
        <v>12957984000</v>
      </c>
      <c r="H126" s="16">
        <f t="shared" si="102"/>
        <v>15474888000</v>
      </c>
      <c r="I126" s="16">
        <f t="shared" si="102"/>
        <v>16798860000</v>
      </c>
      <c r="J126" s="16">
        <f t="shared" si="102"/>
        <v>18165420000</v>
      </c>
      <c r="K126" s="16">
        <f t="shared" si="102"/>
        <v>19574568000</v>
      </c>
      <c r="L126" s="16">
        <f t="shared" si="102"/>
        <v>21026304000</v>
      </c>
      <c r="M126" s="34">
        <f t="shared" si="102"/>
        <v>22520628000</v>
      </c>
      <c r="N126" s="63"/>
      <c r="O126" s="1"/>
    </row>
    <row r="127" spans="1:15" ht="15.75">
      <c r="A127" s="5"/>
      <c r="B127" s="35" t="s">
        <v>27</v>
      </c>
      <c r="C127" s="120">
        <v>0.3</v>
      </c>
      <c r="D127" s="34">
        <f>P34</f>
        <v>703793440.00000012</v>
      </c>
      <c r="E127" s="16">
        <f t="shared" ref="E127:M127" si="103">((E113*0.5)+(E117*0.5))*$C$127</f>
        <v>1055700000</v>
      </c>
      <c r="F127" s="16">
        <f t="shared" si="103"/>
        <v>1091340000</v>
      </c>
      <c r="G127" s="16">
        <f t="shared" si="103"/>
        <v>3071520000</v>
      </c>
      <c r="H127" s="16">
        <f t="shared" si="103"/>
        <v>3275640000</v>
      </c>
      <c r="I127" s="16">
        <f t="shared" si="103"/>
        <v>3485700000</v>
      </c>
      <c r="J127" s="16">
        <f t="shared" si="103"/>
        <v>3701700000</v>
      </c>
      <c r="K127" s="16">
        <f t="shared" si="103"/>
        <v>3923640000</v>
      </c>
      <c r="L127" s="16">
        <f t="shared" si="103"/>
        <v>4151520000</v>
      </c>
      <c r="M127" s="34">
        <f t="shared" si="103"/>
        <v>4385340000</v>
      </c>
      <c r="N127" s="63"/>
      <c r="O127" s="1"/>
    </row>
    <row r="128" spans="1:15" ht="15.75">
      <c r="A128" s="5"/>
      <c r="B128" s="35" t="s">
        <v>28</v>
      </c>
      <c r="C128" s="120">
        <v>2.5000000000000001E-2</v>
      </c>
      <c r="D128" s="34">
        <f>P35</f>
        <v>634677266.25</v>
      </c>
      <c r="E128" s="16">
        <f t="shared" ref="E128:M128" si="104">E119*$C$128</f>
        <v>872775000</v>
      </c>
      <c r="F128" s="16">
        <f t="shared" si="104"/>
        <v>929961000</v>
      </c>
      <c r="G128" s="16">
        <f t="shared" si="104"/>
        <v>1351728000</v>
      </c>
      <c r="H128" s="16">
        <f t="shared" si="104"/>
        <v>1584846000</v>
      </c>
      <c r="I128" s="16">
        <f t="shared" si="104"/>
        <v>1715175000</v>
      </c>
      <c r="J128" s="16">
        <f t="shared" si="104"/>
        <v>1849635000</v>
      </c>
      <c r="K128" s="16">
        <f t="shared" si="104"/>
        <v>1988226000</v>
      </c>
      <c r="L128" s="16">
        <f t="shared" si="104"/>
        <v>2130948000</v>
      </c>
      <c r="M128" s="34">
        <f t="shared" si="104"/>
        <v>2277801000</v>
      </c>
      <c r="N128" s="63"/>
      <c r="O128" s="1"/>
    </row>
    <row r="129" spans="1:15" ht="15.75">
      <c r="A129" s="5"/>
      <c r="B129" s="35" t="s">
        <v>96</v>
      </c>
      <c r="C129" s="120">
        <v>0.08</v>
      </c>
      <c r="D129" s="34">
        <f>P36</f>
        <v>2538709065</v>
      </c>
      <c r="E129" s="16">
        <f t="shared" ref="E129:M129" si="105">E119*$C$129</f>
        <v>2792880000</v>
      </c>
      <c r="F129" s="16">
        <f t="shared" si="105"/>
        <v>2975875200</v>
      </c>
      <c r="G129" s="16">
        <f t="shared" si="105"/>
        <v>4325529600</v>
      </c>
      <c r="H129" s="16">
        <f t="shared" si="105"/>
        <v>5071507200</v>
      </c>
      <c r="I129" s="16">
        <f t="shared" si="105"/>
        <v>5488560000</v>
      </c>
      <c r="J129" s="16">
        <f t="shared" si="105"/>
        <v>5918832000</v>
      </c>
      <c r="K129" s="16">
        <f t="shared" si="105"/>
        <v>6362323200</v>
      </c>
      <c r="L129" s="16">
        <f t="shared" si="105"/>
        <v>6819033600</v>
      </c>
      <c r="M129" s="34">
        <f t="shared" si="105"/>
        <v>7288963200</v>
      </c>
      <c r="N129" s="63"/>
      <c r="O129" s="1"/>
    </row>
    <row r="130" spans="1:15" ht="16.5" thickBot="1">
      <c r="A130" s="5"/>
      <c r="B130" s="36" t="s">
        <v>29</v>
      </c>
      <c r="C130" s="144">
        <v>0.4</v>
      </c>
      <c r="D130" s="56">
        <f t="shared" ref="D130:M130" si="106">SUM(D126:D129)</f>
        <v>10477823340.25</v>
      </c>
      <c r="E130" s="37">
        <f t="shared" si="106"/>
        <v>13891815000</v>
      </c>
      <c r="F130" s="37">
        <f t="shared" si="106"/>
        <v>14797564200</v>
      </c>
      <c r="G130" s="37">
        <f t="shared" si="106"/>
        <v>21706761600</v>
      </c>
      <c r="H130" s="37">
        <f t="shared" si="106"/>
        <v>25406881200</v>
      </c>
      <c r="I130" s="37">
        <f t="shared" si="106"/>
        <v>27488295000</v>
      </c>
      <c r="J130" s="37">
        <f t="shared" si="106"/>
        <v>29635587000</v>
      </c>
      <c r="K130" s="37">
        <f t="shared" si="106"/>
        <v>31848757200</v>
      </c>
      <c r="L130" s="37">
        <f t="shared" si="106"/>
        <v>34127805600</v>
      </c>
      <c r="M130" s="38">
        <f t="shared" si="106"/>
        <v>36472732200</v>
      </c>
      <c r="N130" s="63"/>
      <c r="O130" s="1"/>
    </row>
    <row r="131" spans="1:15" ht="16.5" thickTop="1">
      <c r="A131" s="5"/>
      <c r="B131" s="39" t="s">
        <v>30</v>
      </c>
      <c r="C131" s="165"/>
      <c r="D131" s="41">
        <f t="shared" ref="D131:M131" si="107">D119-D130</f>
        <v>14909267309.75</v>
      </c>
      <c r="E131" s="40">
        <f t="shared" si="107"/>
        <v>21019185000</v>
      </c>
      <c r="F131" s="40">
        <f t="shared" si="107"/>
        <v>22400875800</v>
      </c>
      <c r="G131" s="40">
        <f t="shared" si="107"/>
        <v>32362358400</v>
      </c>
      <c r="H131" s="40">
        <f t="shared" si="107"/>
        <v>37986958800</v>
      </c>
      <c r="I131" s="40">
        <f t="shared" si="107"/>
        <v>41118705000</v>
      </c>
      <c r="J131" s="40">
        <f t="shared" si="107"/>
        <v>44349813000</v>
      </c>
      <c r="K131" s="40">
        <f t="shared" si="107"/>
        <v>47680282800</v>
      </c>
      <c r="L131" s="40">
        <f t="shared" si="107"/>
        <v>51110114400</v>
      </c>
      <c r="M131" s="41">
        <f t="shared" si="107"/>
        <v>54639307800</v>
      </c>
      <c r="N131" s="63"/>
      <c r="O131" s="1"/>
    </row>
    <row r="132" spans="1:15" ht="16.5" thickBot="1">
      <c r="A132" s="5"/>
      <c r="B132" s="42" t="s">
        <v>31</v>
      </c>
      <c r="C132" s="45">
        <v>0.6</v>
      </c>
      <c r="D132" s="43">
        <f t="shared" ref="D132:M132" si="108">D131/D119</f>
        <v>0.58727750711167059</v>
      </c>
      <c r="E132" s="45">
        <f t="shared" si="108"/>
        <v>0.60207914410930652</v>
      </c>
      <c r="F132" s="45">
        <f t="shared" si="108"/>
        <v>0.60219933416562632</v>
      </c>
      <c r="G132" s="45">
        <f t="shared" si="108"/>
        <v>0.59853680622136995</v>
      </c>
      <c r="H132" s="45">
        <f t="shared" si="108"/>
        <v>0.59922160891342124</v>
      </c>
      <c r="I132" s="45">
        <f t="shared" si="108"/>
        <v>0.59933687524596613</v>
      </c>
      <c r="J132" s="45">
        <f t="shared" si="108"/>
        <v>0.5994400652020534</v>
      </c>
      <c r="K132" s="45">
        <f t="shared" si="108"/>
        <v>0.59953298568673785</v>
      </c>
      <c r="L132" s="45">
        <f t="shared" si="108"/>
        <v>0.59961709999493185</v>
      </c>
      <c r="M132" s="43">
        <f t="shared" si="108"/>
        <v>0.59969360580665299</v>
      </c>
      <c r="N132" s="63"/>
      <c r="O132" s="1"/>
    </row>
    <row r="133" spans="1:15" ht="16.5" thickTop="1">
      <c r="A133" s="5"/>
      <c r="B133" s="46" t="s">
        <v>32</v>
      </c>
      <c r="C133" s="78"/>
      <c r="D133" s="34"/>
      <c r="E133" s="63"/>
      <c r="F133" s="16"/>
      <c r="G133" s="16"/>
      <c r="H133" s="16"/>
      <c r="I133" s="16"/>
      <c r="J133" s="16"/>
      <c r="K133" s="16"/>
      <c r="L133" s="16"/>
      <c r="M133" s="34"/>
      <c r="N133" s="63"/>
      <c r="O133" s="3"/>
    </row>
    <row r="134" spans="1:15" ht="15.75">
      <c r="A134" s="5"/>
      <c r="B134" s="49" t="s">
        <v>33</v>
      </c>
      <c r="C134" s="120"/>
      <c r="D134" s="34"/>
      <c r="E134" s="16"/>
      <c r="F134" s="16"/>
      <c r="G134" s="16"/>
      <c r="H134" s="16"/>
      <c r="I134" s="16"/>
      <c r="J134" s="16"/>
      <c r="K134" s="16"/>
      <c r="L134" s="16"/>
      <c r="M134" s="34"/>
      <c r="N134" s="63"/>
      <c r="O134" s="3"/>
    </row>
    <row r="135" spans="1:15" ht="15.75">
      <c r="A135" s="5"/>
      <c r="B135" s="49" t="s">
        <v>104</v>
      </c>
      <c r="C135" s="148"/>
      <c r="D135" s="34">
        <f t="shared" ref="D135:D157" si="109">P46</f>
        <v>4</v>
      </c>
      <c r="E135" s="16">
        <v>4</v>
      </c>
      <c r="F135" s="16">
        <v>4</v>
      </c>
      <c r="G135" s="16">
        <v>4</v>
      </c>
      <c r="H135" s="16">
        <v>5</v>
      </c>
      <c r="I135" s="16">
        <v>5</v>
      </c>
      <c r="J135" s="16">
        <v>5</v>
      </c>
      <c r="K135" s="16">
        <v>6</v>
      </c>
      <c r="L135" s="16">
        <v>6</v>
      </c>
      <c r="M135" s="34">
        <v>6</v>
      </c>
      <c r="N135" s="71"/>
      <c r="O135" s="3"/>
    </row>
    <row r="136" spans="1:15" ht="15.75">
      <c r="A136" s="5"/>
      <c r="B136" s="49" t="s">
        <v>104</v>
      </c>
      <c r="C136" s="78">
        <v>150000000</v>
      </c>
      <c r="D136" s="34">
        <f t="shared" si="109"/>
        <v>1680000000</v>
      </c>
      <c r="E136" s="78">
        <f>C136*12</f>
        <v>1800000000</v>
      </c>
      <c r="F136" s="78">
        <f>E136</f>
        <v>1800000000</v>
      </c>
      <c r="G136" s="78">
        <f t="shared" ref="G136:M136" si="110">F136</f>
        <v>1800000000</v>
      </c>
      <c r="H136" s="78">
        <v>2400000000</v>
      </c>
      <c r="I136" s="78">
        <f t="shared" si="110"/>
        <v>2400000000</v>
      </c>
      <c r="J136" s="78">
        <f t="shared" si="110"/>
        <v>2400000000</v>
      </c>
      <c r="K136" s="78">
        <v>3000000000</v>
      </c>
      <c r="L136" s="78">
        <f t="shared" si="110"/>
        <v>3000000000</v>
      </c>
      <c r="M136" s="78">
        <f t="shared" si="110"/>
        <v>3000000000</v>
      </c>
      <c r="N136" s="71"/>
      <c r="O136" s="3"/>
    </row>
    <row r="137" spans="1:15" ht="15.75">
      <c r="A137" s="5"/>
      <c r="B137" s="49" t="s">
        <v>105</v>
      </c>
      <c r="C137" s="78"/>
      <c r="D137" s="34">
        <f t="shared" si="109"/>
        <v>2</v>
      </c>
      <c r="E137" s="16">
        <v>4</v>
      </c>
      <c r="F137" s="16">
        <v>4</v>
      </c>
      <c r="G137" s="16">
        <v>4</v>
      </c>
      <c r="H137" s="16">
        <v>4</v>
      </c>
      <c r="I137" s="16">
        <v>6</v>
      </c>
      <c r="J137" s="16">
        <v>6</v>
      </c>
      <c r="K137" s="16">
        <v>6</v>
      </c>
      <c r="L137" s="16">
        <v>7</v>
      </c>
      <c r="M137" s="34">
        <v>7</v>
      </c>
      <c r="N137" s="71"/>
      <c r="O137" s="3"/>
    </row>
    <row r="138" spans="1:15" ht="15.75">
      <c r="A138" s="5"/>
      <c r="B138" s="49" t="s">
        <v>105</v>
      </c>
      <c r="C138" s="78">
        <v>15000000</v>
      </c>
      <c r="D138" s="34">
        <f t="shared" si="109"/>
        <v>360000000</v>
      </c>
      <c r="E138" s="16">
        <f>E137*$C138*13*1.025</f>
        <v>799499999.99999988</v>
      </c>
      <c r="F138" s="16">
        <f>F137*$C138*13*1.05</f>
        <v>819000000</v>
      </c>
      <c r="G138" s="16">
        <f>G137*$C138*13*1.075</f>
        <v>838500000</v>
      </c>
      <c r="H138" s="16">
        <f>H137*$C138*13*1.1</f>
        <v>858000000.00000012</v>
      </c>
      <c r="I138" s="16">
        <f>I137*$C138*13*1.125</f>
        <v>1316250000</v>
      </c>
      <c r="J138" s="16">
        <f>J137*$C138*13*1.15</f>
        <v>1345500000</v>
      </c>
      <c r="K138" s="16">
        <f>K137*$C138*13*1.175</f>
        <v>1374750000</v>
      </c>
      <c r="L138" s="16">
        <f>L137*$C138*13*1.2</f>
        <v>1638000000</v>
      </c>
      <c r="M138" s="34">
        <f>M137*$C138*13*1.225</f>
        <v>1672125000.0000002</v>
      </c>
      <c r="N138" s="71"/>
      <c r="O138" s="3"/>
    </row>
    <row r="139" spans="1:15" ht="15.75">
      <c r="A139" s="5"/>
      <c r="B139" s="49" t="s">
        <v>34</v>
      </c>
      <c r="C139" s="78"/>
      <c r="D139" s="34">
        <f t="shared" si="109"/>
        <v>6</v>
      </c>
      <c r="E139" s="16">
        <v>5</v>
      </c>
      <c r="F139" s="16">
        <v>5</v>
      </c>
      <c r="G139" s="16">
        <v>5</v>
      </c>
      <c r="H139" s="16">
        <v>5</v>
      </c>
      <c r="I139" s="16">
        <v>8</v>
      </c>
      <c r="J139" s="16">
        <v>8</v>
      </c>
      <c r="K139" s="16">
        <v>8</v>
      </c>
      <c r="L139" s="16">
        <v>8</v>
      </c>
      <c r="M139" s="34">
        <v>8</v>
      </c>
      <c r="N139" s="71"/>
      <c r="O139" s="3"/>
    </row>
    <row r="140" spans="1:15" ht="15.75">
      <c r="A140" s="5"/>
      <c r="B140" s="49" t="s">
        <v>34</v>
      </c>
      <c r="C140" s="78">
        <v>5500000</v>
      </c>
      <c r="D140" s="34">
        <f t="shared" si="109"/>
        <v>468000000</v>
      </c>
      <c r="E140" s="16">
        <f>E139*$C140*13*1.025</f>
        <v>366437499.99999994</v>
      </c>
      <c r="F140" s="16">
        <f>F139*$C140*13*1.05</f>
        <v>375375000</v>
      </c>
      <c r="G140" s="16">
        <f>G139*$C140*13*1.075</f>
        <v>384312500</v>
      </c>
      <c r="H140" s="16">
        <f>H139*$C140*13*1.1</f>
        <v>393250000.00000006</v>
      </c>
      <c r="I140" s="16">
        <f>I139*$C140*13*1.125</f>
        <v>643500000</v>
      </c>
      <c r="J140" s="16">
        <f>J139*$C140*13*1.15</f>
        <v>657800000</v>
      </c>
      <c r="K140" s="16">
        <f>K139*$C140*13*1.175</f>
        <v>672100000</v>
      </c>
      <c r="L140" s="16">
        <f>L139*$C140*13*1.2</f>
        <v>686400000</v>
      </c>
      <c r="M140" s="34">
        <f>M139*$C140*13*1.225</f>
        <v>700700000</v>
      </c>
      <c r="N140" s="71"/>
      <c r="O140" s="3"/>
    </row>
    <row r="141" spans="1:15" ht="15.75">
      <c r="A141" s="5"/>
      <c r="B141" s="49" t="s">
        <v>35</v>
      </c>
      <c r="C141" s="148"/>
      <c r="D141" s="34">
        <f t="shared" si="109"/>
        <v>10</v>
      </c>
      <c r="E141" s="16">
        <v>10</v>
      </c>
      <c r="F141" s="16">
        <v>10</v>
      </c>
      <c r="G141" s="16">
        <v>15</v>
      </c>
      <c r="H141" s="16">
        <v>15</v>
      </c>
      <c r="I141" s="16">
        <v>18</v>
      </c>
      <c r="J141" s="16">
        <v>18</v>
      </c>
      <c r="K141" s="16">
        <v>18</v>
      </c>
      <c r="L141" s="16">
        <v>18</v>
      </c>
      <c r="M141" s="16">
        <v>18</v>
      </c>
      <c r="N141" s="71"/>
      <c r="O141" s="3"/>
    </row>
    <row r="142" spans="1:15" ht="15.75">
      <c r="A142" s="5"/>
      <c r="B142" s="49" t="s">
        <v>35</v>
      </c>
      <c r="C142" s="78">
        <v>4500000</v>
      </c>
      <c r="D142" s="34">
        <f t="shared" si="109"/>
        <v>720000000</v>
      </c>
      <c r="E142" s="16">
        <f>E141*$C142*13*1.025</f>
        <v>599625000</v>
      </c>
      <c r="F142" s="16">
        <f>F141*$C142*13*1.05</f>
        <v>614250000</v>
      </c>
      <c r="G142" s="16">
        <f>G141*$C142*13*1.075</f>
        <v>943312500</v>
      </c>
      <c r="H142" s="16">
        <f>H141*$C142*13*1.1</f>
        <v>965250000.00000012</v>
      </c>
      <c r="I142" s="16">
        <f>I141*$C142*13*1.125</f>
        <v>1184625000</v>
      </c>
      <c r="J142" s="16">
        <f>J141*$C142*13*1.15</f>
        <v>1210950000</v>
      </c>
      <c r="K142" s="16">
        <f>K141*$C142*13*1.175</f>
        <v>1237275000</v>
      </c>
      <c r="L142" s="16">
        <f>L141*$C142*13*1.2</f>
        <v>1263600000</v>
      </c>
      <c r="M142" s="34">
        <f>M141*$C142*13*1.225</f>
        <v>1289925000</v>
      </c>
      <c r="N142" s="71"/>
      <c r="O142" s="3"/>
    </row>
    <row r="143" spans="1:15" ht="15.75">
      <c r="A143" s="5"/>
      <c r="B143" s="49" t="s">
        <v>36</v>
      </c>
      <c r="C143" s="78"/>
      <c r="D143" s="34">
        <f t="shared" si="109"/>
        <v>12</v>
      </c>
      <c r="E143" s="16">
        <v>9</v>
      </c>
      <c r="F143" s="16">
        <v>9</v>
      </c>
      <c r="G143" s="16">
        <v>9</v>
      </c>
      <c r="H143" s="16">
        <v>9</v>
      </c>
      <c r="I143" s="16">
        <v>9</v>
      </c>
      <c r="J143" s="16">
        <v>9</v>
      </c>
      <c r="K143" s="16">
        <v>12</v>
      </c>
      <c r="L143" s="16">
        <v>12</v>
      </c>
      <c r="M143" s="34">
        <v>12</v>
      </c>
      <c r="N143" s="71"/>
      <c r="O143" s="3"/>
    </row>
    <row r="144" spans="1:15" ht="15.75">
      <c r="A144" s="5"/>
      <c r="B144" s="49" t="s">
        <v>36</v>
      </c>
      <c r="C144" s="78">
        <v>3500000</v>
      </c>
      <c r="D144" s="34">
        <f t="shared" si="109"/>
        <v>760000000</v>
      </c>
      <c r="E144" s="16">
        <f>E143*$C144*13*1.025</f>
        <v>419737499.99999994</v>
      </c>
      <c r="F144" s="16">
        <f>F143*$C144*13*1.05</f>
        <v>429975000</v>
      </c>
      <c r="G144" s="16">
        <f>G143*$C144*13*1.075</f>
        <v>440212500</v>
      </c>
      <c r="H144" s="16">
        <f>H143*$C144*13*1.1</f>
        <v>450450000.00000006</v>
      </c>
      <c r="I144" s="16">
        <f>I143*$C144*13*1.125</f>
        <v>460687500</v>
      </c>
      <c r="J144" s="16">
        <f>J143*$C144*13*1.15</f>
        <v>470924999.99999994</v>
      </c>
      <c r="K144" s="16">
        <f>K143*$C144*13*1.175</f>
        <v>641550000</v>
      </c>
      <c r="L144" s="16">
        <f>L143*$C144*13*1.2</f>
        <v>655200000</v>
      </c>
      <c r="M144" s="34">
        <f>M143*$C144*13*1.225</f>
        <v>668850000</v>
      </c>
      <c r="N144" s="71"/>
      <c r="O144" s="3"/>
    </row>
    <row r="145" spans="1:15" ht="15.75">
      <c r="A145" s="5"/>
      <c r="B145" s="49" t="s">
        <v>37</v>
      </c>
      <c r="C145" s="78"/>
      <c r="D145" s="34">
        <f t="shared" si="109"/>
        <v>12</v>
      </c>
      <c r="E145" s="16">
        <v>11</v>
      </c>
      <c r="F145" s="16">
        <v>11</v>
      </c>
      <c r="G145" s="16">
        <v>11</v>
      </c>
      <c r="H145" s="16">
        <v>12</v>
      </c>
      <c r="I145" s="16">
        <v>12</v>
      </c>
      <c r="J145" s="16">
        <v>14</v>
      </c>
      <c r="K145" s="16">
        <v>14</v>
      </c>
      <c r="L145" s="16">
        <v>16</v>
      </c>
      <c r="M145" s="34">
        <v>16</v>
      </c>
      <c r="N145" s="71"/>
      <c r="O145" s="3"/>
    </row>
    <row r="146" spans="1:15" ht="15.75">
      <c r="A146" s="5"/>
      <c r="B146" s="49" t="s">
        <v>37</v>
      </c>
      <c r="C146" s="78">
        <v>5000000</v>
      </c>
      <c r="D146" s="34">
        <f t="shared" si="109"/>
        <v>702000000</v>
      </c>
      <c r="E146" s="16">
        <f>E145*$C146*13*1.025</f>
        <v>732874999.99999988</v>
      </c>
      <c r="F146" s="16">
        <f>F145*$C146*13*1.05</f>
        <v>750750000</v>
      </c>
      <c r="G146" s="16">
        <f>G145*$C146*13*1.075</f>
        <v>768625000</v>
      </c>
      <c r="H146" s="16">
        <f>H145*$C146*13*1.1</f>
        <v>858000000.00000012</v>
      </c>
      <c r="I146" s="16">
        <f>I145*$C146*13*1.125</f>
        <v>877500000</v>
      </c>
      <c r="J146" s="16">
        <f>J145*$C146*13*1.15</f>
        <v>1046499999.9999999</v>
      </c>
      <c r="K146" s="16">
        <f>K145*$C146*13*1.175</f>
        <v>1069250000</v>
      </c>
      <c r="L146" s="16">
        <f>L145*$C146*13*1.2</f>
        <v>1248000000</v>
      </c>
      <c r="M146" s="34">
        <f>M145*$C146*13*1.225</f>
        <v>1274000000</v>
      </c>
      <c r="N146" s="71"/>
      <c r="O146" s="3"/>
    </row>
    <row r="147" spans="1:15" ht="15.75">
      <c r="A147" s="5"/>
      <c r="B147" s="49" t="s">
        <v>38</v>
      </c>
      <c r="C147" s="78"/>
      <c r="D147" s="34">
        <f t="shared" si="109"/>
        <v>7</v>
      </c>
      <c r="E147" s="16">
        <v>7</v>
      </c>
      <c r="F147" s="16">
        <v>7</v>
      </c>
      <c r="G147" s="16">
        <v>7</v>
      </c>
      <c r="H147" s="16">
        <v>14</v>
      </c>
      <c r="I147" s="16">
        <v>14</v>
      </c>
      <c r="J147" s="16">
        <v>14</v>
      </c>
      <c r="K147" s="16">
        <v>14</v>
      </c>
      <c r="L147" s="16">
        <v>14</v>
      </c>
      <c r="M147" s="34">
        <v>14</v>
      </c>
      <c r="N147" s="71"/>
      <c r="O147" s="3"/>
    </row>
    <row r="148" spans="1:15" ht="15.75">
      <c r="A148" s="5"/>
      <c r="B148" s="49" t="s">
        <v>38</v>
      </c>
      <c r="C148" s="78">
        <v>4000000</v>
      </c>
      <c r="D148" s="34">
        <f t="shared" si="109"/>
        <v>378000000</v>
      </c>
      <c r="E148" s="16">
        <f>E147*$C148*13*1.025</f>
        <v>373099999.99999994</v>
      </c>
      <c r="F148" s="16">
        <f>F147*$C148*13*1.05</f>
        <v>382200000</v>
      </c>
      <c r="G148" s="16">
        <f>G147*$C148*13*1.075</f>
        <v>391300000</v>
      </c>
      <c r="H148" s="16">
        <f>H147*$C148*13*1.1</f>
        <v>800800000.00000012</v>
      </c>
      <c r="I148" s="16">
        <f>I147*$C148*13*1.125</f>
        <v>819000000</v>
      </c>
      <c r="J148" s="16">
        <f>J147*$C148*13*1.15</f>
        <v>837199999.99999988</v>
      </c>
      <c r="K148" s="16">
        <f>K147*$C148*13*1.175</f>
        <v>855400000</v>
      </c>
      <c r="L148" s="16">
        <f>L147*$C148*13*1.2</f>
        <v>873600000</v>
      </c>
      <c r="M148" s="34">
        <f>M147*$C148*13*1.225</f>
        <v>891800000.00000012</v>
      </c>
      <c r="N148" s="71"/>
      <c r="O148" s="3"/>
    </row>
    <row r="149" spans="1:15" ht="15.75">
      <c r="A149" s="5"/>
      <c r="B149" s="49" t="s">
        <v>39</v>
      </c>
      <c r="C149" s="78"/>
      <c r="D149" s="34">
        <f t="shared" si="109"/>
        <v>10</v>
      </c>
      <c r="E149" s="16">
        <v>10</v>
      </c>
      <c r="F149" s="16">
        <v>10</v>
      </c>
      <c r="G149" s="16">
        <v>10</v>
      </c>
      <c r="H149" s="16">
        <v>10</v>
      </c>
      <c r="I149" s="16">
        <v>12</v>
      </c>
      <c r="J149" s="16">
        <v>12</v>
      </c>
      <c r="K149" s="16">
        <v>12</v>
      </c>
      <c r="L149" s="16">
        <v>12</v>
      </c>
      <c r="M149" s="16">
        <v>14</v>
      </c>
      <c r="N149" s="71"/>
      <c r="O149" s="3"/>
    </row>
    <row r="150" spans="1:15" ht="15.75">
      <c r="A150" s="5"/>
      <c r="B150" s="49" t="s">
        <v>39</v>
      </c>
      <c r="C150" s="78">
        <v>4500000</v>
      </c>
      <c r="D150" s="34">
        <f t="shared" si="109"/>
        <v>585000000</v>
      </c>
      <c r="E150" s="16">
        <f>E149*$C150*13*1.025</f>
        <v>599625000</v>
      </c>
      <c r="F150" s="16">
        <f>F149*$C150*13*1.05</f>
        <v>614250000</v>
      </c>
      <c r="G150" s="16">
        <f>G149*$C150*13*1.075</f>
        <v>628875000</v>
      </c>
      <c r="H150" s="16">
        <f>H149*$C150*13*1.1</f>
        <v>643500000</v>
      </c>
      <c r="I150" s="16">
        <f>I149*$C150*13*1.125</f>
        <v>789750000</v>
      </c>
      <c r="J150" s="16">
        <f>J149*$C150*13*1.15</f>
        <v>807299999.99999988</v>
      </c>
      <c r="K150" s="16">
        <f>K149*$C150*13*1.175</f>
        <v>824850000</v>
      </c>
      <c r="L150" s="16">
        <f>L149*$C150*13*1.2</f>
        <v>842400000</v>
      </c>
      <c r="M150" s="34">
        <f>M149*$C150*13*1.225</f>
        <v>1003275000.0000001</v>
      </c>
      <c r="N150" s="71"/>
      <c r="O150" s="3"/>
    </row>
    <row r="151" spans="1:15" ht="15.75">
      <c r="A151" s="5"/>
      <c r="B151" s="49" t="s">
        <v>40</v>
      </c>
      <c r="C151" s="148"/>
      <c r="D151" s="34">
        <f t="shared" si="109"/>
        <v>6</v>
      </c>
      <c r="E151" s="16">
        <v>6</v>
      </c>
      <c r="F151" s="16">
        <v>6</v>
      </c>
      <c r="G151" s="16">
        <v>6</v>
      </c>
      <c r="H151" s="16">
        <v>6</v>
      </c>
      <c r="I151" s="16">
        <v>10</v>
      </c>
      <c r="J151" s="16">
        <v>10</v>
      </c>
      <c r="K151" s="16">
        <v>10</v>
      </c>
      <c r="L151" s="16">
        <v>10</v>
      </c>
      <c r="M151" s="16">
        <v>10</v>
      </c>
      <c r="N151" s="71"/>
      <c r="O151" s="3"/>
    </row>
    <row r="152" spans="1:15" ht="15.75">
      <c r="A152" s="5"/>
      <c r="B152" s="49" t="s">
        <v>40</v>
      </c>
      <c r="C152" s="78">
        <v>3500000</v>
      </c>
      <c r="D152" s="34">
        <f t="shared" si="109"/>
        <v>288000000</v>
      </c>
      <c r="E152" s="16">
        <f>E151*$C152*13*1.025</f>
        <v>279825000</v>
      </c>
      <c r="F152" s="16">
        <f>F151*$C152*13*1.05</f>
        <v>286650000</v>
      </c>
      <c r="G152" s="16">
        <f>G151*$C152*13*1.075</f>
        <v>293475000</v>
      </c>
      <c r="H152" s="16">
        <f>H151*$C152*13*1.1</f>
        <v>300300000</v>
      </c>
      <c r="I152" s="16">
        <f>I151*$C152*13*1.125</f>
        <v>511875000</v>
      </c>
      <c r="J152" s="16">
        <f>J151*$C152*13*1.15</f>
        <v>523249999.99999994</v>
      </c>
      <c r="K152" s="16">
        <f>K151*$C152*13*1.175</f>
        <v>534625000</v>
      </c>
      <c r="L152" s="16">
        <f>L151*$C152*13*1.2</f>
        <v>546000000</v>
      </c>
      <c r="M152" s="34">
        <f>M151*$C152*13*1.225</f>
        <v>557375000</v>
      </c>
      <c r="N152" s="71"/>
      <c r="O152" s="3"/>
    </row>
    <row r="153" spans="1:15" ht="15.75">
      <c r="A153" s="5"/>
      <c r="B153" s="49" t="s">
        <v>41</v>
      </c>
      <c r="C153" s="78"/>
      <c r="D153" s="34">
        <f t="shared" si="109"/>
        <v>4</v>
      </c>
      <c r="E153" s="16">
        <v>6</v>
      </c>
      <c r="F153" s="16">
        <v>8</v>
      </c>
      <c r="G153" s="16">
        <v>8</v>
      </c>
      <c r="H153" s="16">
        <v>8</v>
      </c>
      <c r="I153" s="16">
        <v>12</v>
      </c>
      <c r="J153" s="16">
        <v>12</v>
      </c>
      <c r="K153" s="16">
        <v>12</v>
      </c>
      <c r="L153" s="16">
        <v>12</v>
      </c>
      <c r="M153" s="16">
        <v>12</v>
      </c>
      <c r="N153" s="71"/>
      <c r="O153" s="3"/>
    </row>
    <row r="154" spans="1:15" ht="15.75">
      <c r="A154" s="5"/>
      <c r="B154" s="49" t="s">
        <v>41</v>
      </c>
      <c r="C154" s="78">
        <v>1500000</v>
      </c>
      <c r="D154" s="34">
        <f t="shared" si="109"/>
        <v>72000000</v>
      </c>
      <c r="E154" s="16">
        <f>E153*$C154*13*1.025</f>
        <v>119924999.99999999</v>
      </c>
      <c r="F154" s="16">
        <f>F153*$C154*13*1.05</f>
        <v>163800000</v>
      </c>
      <c r="G154" s="16">
        <f>G153*$C154*13*1.075</f>
        <v>167700000</v>
      </c>
      <c r="H154" s="16">
        <f>H153*$C154*13*1.1</f>
        <v>171600000</v>
      </c>
      <c r="I154" s="16">
        <f>I153*$C154*13*1.125</f>
        <v>263250000</v>
      </c>
      <c r="J154" s="16">
        <f>J153*$C154*13*1.15</f>
        <v>269100000</v>
      </c>
      <c r="K154" s="16">
        <f>K153*$C154*13*1.175</f>
        <v>274950000</v>
      </c>
      <c r="L154" s="16">
        <f>L153*$C154*13*1.2</f>
        <v>280800000</v>
      </c>
      <c r="M154" s="34">
        <f>M153*$C154*13*1.225</f>
        <v>286650000</v>
      </c>
      <c r="N154" s="71"/>
      <c r="O154" s="3"/>
    </row>
    <row r="155" spans="1:15" ht="15.75">
      <c r="A155" s="5"/>
      <c r="B155" s="50" t="s">
        <v>97</v>
      </c>
      <c r="C155" s="120">
        <v>0.1</v>
      </c>
      <c r="D155" s="152">
        <f t="shared" si="109"/>
        <v>565300000</v>
      </c>
      <c r="E155" s="153">
        <f>(E136+E138+E140+E142+E144+E146+E148+E150+E152+E154)*$C$155</f>
        <v>609065000</v>
      </c>
      <c r="F155" s="153">
        <f t="shared" ref="F155:M155" si="111">(F136+F138+F140+F142+F144+F146+F148+F150+F152+F154)*$C$155</f>
        <v>623625000</v>
      </c>
      <c r="G155" s="153">
        <f t="shared" si="111"/>
        <v>665631250</v>
      </c>
      <c r="H155" s="153">
        <f t="shared" si="111"/>
        <v>784115000</v>
      </c>
      <c r="I155" s="153">
        <f t="shared" si="111"/>
        <v>926643750</v>
      </c>
      <c r="J155" s="153">
        <f t="shared" si="111"/>
        <v>956852500</v>
      </c>
      <c r="K155" s="153">
        <f t="shared" si="111"/>
        <v>1048475000</v>
      </c>
      <c r="L155" s="153">
        <f t="shared" si="111"/>
        <v>1103400000</v>
      </c>
      <c r="M155" s="153">
        <f t="shared" si="111"/>
        <v>1134470000</v>
      </c>
      <c r="N155" s="71"/>
      <c r="O155" s="3"/>
    </row>
    <row r="156" spans="1:15" ht="15.75">
      <c r="A156" s="5"/>
      <c r="B156" s="51" t="s">
        <v>42</v>
      </c>
      <c r="C156" s="121">
        <v>0.16</v>
      </c>
      <c r="D156" s="23">
        <f t="shared" si="109"/>
        <v>73</v>
      </c>
      <c r="E156" s="21">
        <f>E135+E137+E139+E141+E143+E145+E147+E149+E151+E153</f>
        <v>72</v>
      </c>
      <c r="F156" s="21">
        <f t="shared" ref="F156:M156" si="112">F135+F137+F139+F141+F143+F145+F147+F149+F151+F153</f>
        <v>74</v>
      </c>
      <c r="G156" s="21">
        <f t="shared" si="112"/>
        <v>79</v>
      </c>
      <c r="H156" s="21">
        <f t="shared" si="112"/>
        <v>88</v>
      </c>
      <c r="I156" s="21">
        <f t="shared" si="112"/>
        <v>106</v>
      </c>
      <c r="J156" s="21">
        <f t="shared" si="112"/>
        <v>108</v>
      </c>
      <c r="K156" s="21">
        <f t="shared" si="112"/>
        <v>112</v>
      </c>
      <c r="L156" s="21">
        <f t="shared" si="112"/>
        <v>115</v>
      </c>
      <c r="M156" s="21">
        <f t="shared" si="112"/>
        <v>117</v>
      </c>
      <c r="N156" s="71"/>
      <c r="O156" s="3"/>
    </row>
    <row r="157" spans="1:15" ht="15.75">
      <c r="A157" s="5"/>
      <c r="B157" s="51" t="s">
        <v>110</v>
      </c>
      <c r="C157" s="121"/>
      <c r="D157" s="157">
        <f t="shared" si="109"/>
        <v>6578300000</v>
      </c>
      <c r="E157" s="157">
        <f>(E136+E138+E140+E142+E144+E146+E148+E150+E152+E154+E155)</f>
        <v>6699715000</v>
      </c>
      <c r="F157" s="157">
        <f t="shared" ref="F157:M157" si="113">(F136+F138+F140+F142+F144+F146+F148+F150+F152+F154+F155)</f>
        <v>6859875000</v>
      </c>
      <c r="G157" s="157">
        <f t="shared" si="113"/>
        <v>7321943750</v>
      </c>
      <c r="H157" s="157">
        <f t="shared" si="113"/>
        <v>8625265000</v>
      </c>
      <c r="I157" s="157">
        <f t="shared" si="113"/>
        <v>10193081250</v>
      </c>
      <c r="J157" s="157">
        <f t="shared" si="113"/>
        <v>10525377500</v>
      </c>
      <c r="K157" s="157">
        <f t="shared" si="113"/>
        <v>11533225000</v>
      </c>
      <c r="L157" s="157">
        <f t="shared" si="113"/>
        <v>12137400000</v>
      </c>
      <c r="M157" s="157">
        <f t="shared" si="113"/>
        <v>12479170000</v>
      </c>
      <c r="N157" s="71"/>
      <c r="O157" s="3"/>
    </row>
    <row r="158" spans="1:15" ht="15.75">
      <c r="A158" s="5"/>
      <c r="B158" s="52"/>
      <c r="C158" s="121"/>
      <c r="D158" s="26">
        <f t="shared" ref="D158:M158" si="114">D157/D119</f>
        <v>0.25911988461742069</v>
      </c>
      <c r="E158" s="121">
        <f t="shared" si="114"/>
        <v>0.19190842427888058</v>
      </c>
      <c r="F158" s="121">
        <f t="shared" si="114"/>
        <v>0.18441297538283863</v>
      </c>
      <c r="G158" s="121">
        <f t="shared" si="114"/>
        <v>0.13541821560994519</v>
      </c>
      <c r="H158" s="121">
        <f t="shared" si="114"/>
        <v>0.13605840882962761</v>
      </c>
      <c r="I158" s="121">
        <f t="shared" si="114"/>
        <v>0.14857202982202983</v>
      </c>
      <c r="J158" s="121">
        <f t="shared" si="114"/>
        <v>0.14226289916659232</v>
      </c>
      <c r="K158" s="121">
        <f t="shared" si="114"/>
        <v>0.14501903958604304</v>
      </c>
      <c r="L158" s="121">
        <f t="shared" si="114"/>
        <v>0.1423943709560252</v>
      </c>
      <c r="M158" s="26">
        <f t="shared" si="114"/>
        <v>0.1369651036240655</v>
      </c>
      <c r="N158" s="71"/>
      <c r="O158" s="3"/>
    </row>
    <row r="159" spans="1:15" ht="15.75">
      <c r="A159" s="5"/>
      <c r="B159" s="53" t="s">
        <v>59</v>
      </c>
      <c r="C159" s="114"/>
      <c r="D159" s="34"/>
      <c r="E159" s="16"/>
      <c r="F159" s="16"/>
      <c r="G159" s="16"/>
      <c r="H159" s="16"/>
      <c r="I159" s="16"/>
      <c r="J159" s="16"/>
      <c r="K159" s="16"/>
      <c r="L159" s="16"/>
      <c r="M159" s="34"/>
      <c r="N159" s="71"/>
      <c r="O159" s="3"/>
    </row>
    <row r="160" spans="1:15" ht="15.75">
      <c r="A160" s="5"/>
      <c r="B160" s="49" t="s">
        <v>43</v>
      </c>
      <c r="C160" s="120">
        <v>0.03</v>
      </c>
      <c r="D160" s="34">
        <f>P73</f>
        <v>761612719.5</v>
      </c>
      <c r="E160" s="16">
        <f t="shared" ref="E160:M160" si="115">E119*$C$160</f>
        <v>1047330000</v>
      </c>
      <c r="F160" s="16">
        <f t="shared" si="115"/>
        <v>1115953200</v>
      </c>
      <c r="G160" s="16">
        <f t="shared" si="115"/>
        <v>1622073600</v>
      </c>
      <c r="H160" s="16">
        <f t="shared" si="115"/>
        <v>1901815200</v>
      </c>
      <c r="I160" s="16">
        <f t="shared" si="115"/>
        <v>2058210000</v>
      </c>
      <c r="J160" s="16">
        <f t="shared" si="115"/>
        <v>2219562000</v>
      </c>
      <c r="K160" s="16">
        <f t="shared" si="115"/>
        <v>2385871200</v>
      </c>
      <c r="L160" s="16">
        <f t="shared" si="115"/>
        <v>2557137600</v>
      </c>
      <c r="M160" s="34">
        <f t="shared" si="115"/>
        <v>2733361200</v>
      </c>
      <c r="N160" s="63"/>
      <c r="O160" s="3"/>
    </row>
    <row r="161" spans="1:15" ht="15.75">
      <c r="A161" s="5"/>
      <c r="B161" s="49" t="s">
        <v>44</v>
      </c>
      <c r="C161" s="120">
        <v>0.01</v>
      </c>
      <c r="D161" s="34">
        <f>P74</f>
        <v>380806359.75</v>
      </c>
      <c r="E161" s="16">
        <f t="shared" ref="E161:M161" si="116">E119*$C$161</f>
        <v>349110000</v>
      </c>
      <c r="F161" s="16">
        <f t="shared" si="116"/>
        <v>371984400</v>
      </c>
      <c r="G161" s="16">
        <f t="shared" si="116"/>
        <v>540691200</v>
      </c>
      <c r="H161" s="16">
        <f t="shared" si="116"/>
        <v>633938400</v>
      </c>
      <c r="I161" s="16">
        <f t="shared" si="116"/>
        <v>686070000</v>
      </c>
      <c r="J161" s="16">
        <f t="shared" si="116"/>
        <v>739854000</v>
      </c>
      <c r="K161" s="16">
        <f t="shared" si="116"/>
        <v>795290400</v>
      </c>
      <c r="L161" s="16">
        <f t="shared" si="116"/>
        <v>852379200</v>
      </c>
      <c r="M161" s="34">
        <f t="shared" si="116"/>
        <v>911120400</v>
      </c>
      <c r="N161" s="63"/>
      <c r="O161" s="3"/>
    </row>
    <row r="162" spans="1:15" ht="15.75">
      <c r="A162" s="5"/>
      <c r="B162" s="49" t="s">
        <v>45</v>
      </c>
      <c r="C162" s="120">
        <v>5.0000000000000001E-3</v>
      </c>
      <c r="D162" s="34">
        <f>P75</f>
        <v>253870906.5</v>
      </c>
      <c r="E162" s="16">
        <f t="shared" ref="E162:M162" si="117">E119*$C$162</f>
        <v>174555000</v>
      </c>
      <c r="F162" s="16">
        <f t="shared" si="117"/>
        <v>185992200</v>
      </c>
      <c r="G162" s="16">
        <f t="shared" si="117"/>
        <v>270345600</v>
      </c>
      <c r="H162" s="16">
        <f t="shared" si="117"/>
        <v>316969200</v>
      </c>
      <c r="I162" s="16">
        <f t="shared" si="117"/>
        <v>343035000</v>
      </c>
      <c r="J162" s="16">
        <f t="shared" si="117"/>
        <v>369927000</v>
      </c>
      <c r="K162" s="16">
        <f t="shared" si="117"/>
        <v>397645200</v>
      </c>
      <c r="L162" s="16">
        <f t="shared" si="117"/>
        <v>426189600</v>
      </c>
      <c r="M162" s="34">
        <f t="shared" si="117"/>
        <v>455560200</v>
      </c>
      <c r="N162" s="63"/>
      <c r="O162" s="1"/>
    </row>
    <row r="163" spans="1:15" ht="15.75">
      <c r="A163" s="5"/>
      <c r="B163" s="49"/>
      <c r="C163" s="120"/>
      <c r="D163" s="55">
        <f>SUM(D160:D162)</f>
        <v>1396289985.75</v>
      </c>
      <c r="E163" s="64">
        <f t="shared" ref="E163:M163" si="118">SUM(E160:E162)</f>
        <v>1570995000</v>
      </c>
      <c r="F163" s="64">
        <f t="shared" si="118"/>
        <v>1673929800</v>
      </c>
      <c r="G163" s="64">
        <f t="shared" si="118"/>
        <v>2433110400</v>
      </c>
      <c r="H163" s="64">
        <f t="shared" si="118"/>
        <v>2852722800</v>
      </c>
      <c r="I163" s="64">
        <f t="shared" si="118"/>
        <v>3087315000</v>
      </c>
      <c r="J163" s="64">
        <f t="shared" si="118"/>
        <v>3329343000</v>
      </c>
      <c r="K163" s="64">
        <f t="shared" si="118"/>
        <v>3578806800</v>
      </c>
      <c r="L163" s="64">
        <f t="shared" si="118"/>
        <v>3835706400</v>
      </c>
      <c r="M163" s="55">
        <f t="shared" si="118"/>
        <v>4100041800</v>
      </c>
      <c r="N163" s="63"/>
      <c r="O163" s="1"/>
    </row>
    <row r="164" spans="1:15" ht="15.75">
      <c r="A164" s="5"/>
      <c r="B164" s="53" t="s">
        <v>98</v>
      </c>
      <c r="C164" s="120"/>
      <c r="D164" s="34"/>
      <c r="E164" s="16"/>
      <c r="F164" s="16"/>
      <c r="G164" s="16" t="s">
        <v>73</v>
      </c>
      <c r="H164" s="16"/>
      <c r="I164" s="16"/>
      <c r="J164" s="16"/>
      <c r="K164" s="16"/>
      <c r="L164" s="16"/>
      <c r="M164" s="34"/>
      <c r="N164" s="63"/>
      <c r="O164" s="1"/>
    </row>
    <row r="165" spans="1:15" ht="15.75">
      <c r="A165" s="5"/>
      <c r="B165" s="49" t="s">
        <v>62</v>
      </c>
      <c r="C165" s="120"/>
      <c r="D165" s="34">
        <f>P78</f>
        <v>903000000</v>
      </c>
      <c r="E165" s="16">
        <f t="shared" ref="E165:H165" si="119">720000000</f>
        <v>720000000</v>
      </c>
      <c r="F165" s="16">
        <f t="shared" si="119"/>
        <v>720000000</v>
      </c>
      <c r="G165" s="16">
        <f t="shared" si="119"/>
        <v>720000000</v>
      </c>
      <c r="H165" s="16">
        <f t="shared" si="119"/>
        <v>720000000</v>
      </c>
      <c r="I165" s="16">
        <f>960000000</f>
        <v>960000000</v>
      </c>
      <c r="J165" s="16">
        <f t="shared" ref="J165:M165" si="120">960000000</f>
        <v>960000000</v>
      </c>
      <c r="K165" s="16">
        <f t="shared" si="120"/>
        <v>960000000</v>
      </c>
      <c r="L165" s="16">
        <f t="shared" si="120"/>
        <v>960000000</v>
      </c>
      <c r="M165" s="16">
        <f t="shared" si="120"/>
        <v>960000000</v>
      </c>
      <c r="N165" s="63"/>
      <c r="O165" s="1"/>
    </row>
    <row r="166" spans="1:15" ht="15.75">
      <c r="A166" s="5"/>
      <c r="B166" s="49" t="s">
        <v>61</v>
      </c>
      <c r="C166" s="120">
        <v>0.02</v>
      </c>
      <c r="D166" s="34">
        <f>P79</f>
        <v>380806359.75</v>
      </c>
      <c r="E166" s="16">
        <f t="shared" ref="E166:M166" si="121">E119*$C$166</f>
        <v>698220000</v>
      </c>
      <c r="F166" s="16">
        <f t="shared" si="121"/>
        <v>743968800</v>
      </c>
      <c r="G166" s="16">
        <f t="shared" si="121"/>
        <v>1081382400</v>
      </c>
      <c r="H166" s="16">
        <f t="shared" si="121"/>
        <v>1267876800</v>
      </c>
      <c r="I166" s="16">
        <f t="shared" si="121"/>
        <v>1372140000</v>
      </c>
      <c r="J166" s="16">
        <f t="shared" si="121"/>
        <v>1479708000</v>
      </c>
      <c r="K166" s="16">
        <f t="shared" si="121"/>
        <v>1590580800</v>
      </c>
      <c r="L166" s="16">
        <f t="shared" si="121"/>
        <v>1704758400</v>
      </c>
      <c r="M166" s="34">
        <f t="shared" si="121"/>
        <v>1822240800</v>
      </c>
      <c r="N166" s="63"/>
      <c r="O166" s="1"/>
    </row>
    <row r="167" spans="1:15" ht="15.75">
      <c r="A167" s="5"/>
      <c r="B167" s="49" t="s">
        <v>64</v>
      </c>
      <c r="C167" s="120">
        <v>2.5000000000000001E-2</v>
      </c>
      <c r="D167" s="34">
        <f>P80</f>
        <v>507741813</v>
      </c>
      <c r="E167" s="16">
        <f t="shared" ref="E167:M167" si="122">E119*$C$167</f>
        <v>872775000</v>
      </c>
      <c r="F167" s="16">
        <f t="shared" si="122"/>
        <v>929961000</v>
      </c>
      <c r="G167" s="16">
        <f t="shared" si="122"/>
        <v>1351728000</v>
      </c>
      <c r="H167" s="16">
        <f t="shared" si="122"/>
        <v>1584846000</v>
      </c>
      <c r="I167" s="16">
        <f t="shared" si="122"/>
        <v>1715175000</v>
      </c>
      <c r="J167" s="16">
        <f t="shared" si="122"/>
        <v>1849635000</v>
      </c>
      <c r="K167" s="16">
        <f t="shared" si="122"/>
        <v>1988226000</v>
      </c>
      <c r="L167" s="16">
        <f t="shared" si="122"/>
        <v>2130948000</v>
      </c>
      <c r="M167" s="34">
        <f t="shared" si="122"/>
        <v>2277801000</v>
      </c>
      <c r="N167" s="63"/>
      <c r="O167" s="1"/>
    </row>
    <row r="168" spans="1:15" ht="15.75">
      <c r="A168" s="5"/>
      <c r="B168" s="49"/>
      <c r="C168" s="120"/>
      <c r="D168" s="55">
        <f>SUM(D165:D167)</f>
        <v>1791548172.75</v>
      </c>
      <c r="E168" s="64">
        <f t="shared" ref="E168:M168" si="123">SUM(E165:E167)</f>
        <v>2290995000</v>
      </c>
      <c r="F168" s="64">
        <f t="shared" si="123"/>
        <v>2393929800</v>
      </c>
      <c r="G168" s="64">
        <f t="shared" si="123"/>
        <v>3153110400</v>
      </c>
      <c r="H168" s="64">
        <f t="shared" si="123"/>
        <v>3572722800</v>
      </c>
      <c r="I168" s="64">
        <f t="shared" si="123"/>
        <v>4047315000</v>
      </c>
      <c r="J168" s="64">
        <f t="shared" si="123"/>
        <v>4289343000</v>
      </c>
      <c r="K168" s="64">
        <f t="shared" si="123"/>
        <v>4538806800</v>
      </c>
      <c r="L168" s="64">
        <f t="shared" si="123"/>
        <v>4795706400</v>
      </c>
      <c r="M168" s="55">
        <f t="shared" si="123"/>
        <v>5060041800</v>
      </c>
      <c r="N168" s="63"/>
      <c r="O168" s="1"/>
    </row>
    <row r="169" spans="1:15" ht="15.75">
      <c r="A169" s="5"/>
      <c r="B169" s="53" t="s">
        <v>46</v>
      </c>
      <c r="C169" s="120"/>
      <c r="D169" s="34"/>
      <c r="E169" s="16"/>
      <c r="F169" s="16"/>
      <c r="G169" s="16"/>
      <c r="H169" s="16"/>
      <c r="I169" s="16"/>
      <c r="J169" s="16"/>
      <c r="K169" s="16"/>
      <c r="L169" s="16"/>
      <c r="M169" s="34"/>
      <c r="N169" s="63"/>
      <c r="O169" s="1"/>
    </row>
    <row r="170" spans="1:15" ht="15.75">
      <c r="A170" s="5"/>
      <c r="B170" s="49" t="s">
        <v>47</v>
      </c>
      <c r="C170" s="120"/>
      <c r="D170" s="34">
        <f t="shared" ref="D170:D175" si="124">P83</f>
        <v>216000000</v>
      </c>
      <c r="E170" s="16">
        <f>D170*1.05</f>
        <v>226800000</v>
      </c>
      <c r="F170" s="16">
        <f t="shared" ref="F170:M170" si="125">E170*1.05</f>
        <v>238140000</v>
      </c>
      <c r="G170" s="16">
        <f t="shared" si="125"/>
        <v>250047000</v>
      </c>
      <c r="H170" s="16">
        <f t="shared" si="125"/>
        <v>262549350</v>
      </c>
      <c r="I170" s="16">
        <f t="shared" si="125"/>
        <v>275676817.5</v>
      </c>
      <c r="J170" s="16">
        <f t="shared" si="125"/>
        <v>289460658.375</v>
      </c>
      <c r="K170" s="16">
        <f t="shared" si="125"/>
        <v>303933691.29374999</v>
      </c>
      <c r="L170" s="16">
        <f t="shared" si="125"/>
        <v>319130375.85843748</v>
      </c>
      <c r="M170" s="34">
        <f t="shared" si="125"/>
        <v>335086894.65135938</v>
      </c>
      <c r="N170" s="63"/>
      <c r="O170" s="1"/>
    </row>
    <row r="171" spans="1:15" ht="15.75">
      <c r="A171" s="5"/>
      <c r="B171" s="49" t="s">
        <v>48</v>
      </c>
      <c r="C171" s="120">
        <v>1.4999999999999999E-2</v>
      </c>
      <c r="D171" s="34">
        <f t="shared" si="124"/>
        <v>888548172.75</v>
      </c>
      <c r="E171" s="16">
        <f t="shared" ref="E171:M171" si="126">E119*$C$171</f>
        <v>523665000</v>
      </c>
      <c r="F171" s="16">
        <f t="shared" si="126"/>
        <v>557976600</v>
      </c>
      <c r="G171" s="16">
        <f t="shared" si="126"/>
        <v>811036800</v>
      </c>
      <c r="H171" s="16">
        <f t="shared" si="126"/>
        <v>950907600</v>
      </c>
      <c r="I171" s="16">
        <f t="shared" si="126"/>
        <v>1029105000</v>
      </c>
      <c r="J171" s="16">
        <f t="shared" si="126"/>
        <v>1109781000</v>
      </c>
      <c r="K171" s="16">
        <f t="shared" si="126"/>
        <v>1192935600</v>
      </c>
      <c r="L171" s="16">
        <f t="shared" si="126"/>
        <v>1278568800</v>
      </c>
      <c r="M171" s="34">
        <f t="shared" si="126"/>
        <v>1366680600</v>
      </c>
      <c r="N171" s="63"/>
      <c r="O171" s="1"/>
    </row>
    <row r="172" spans="1:15" ht="15.75">
      <c r="A172" s="5"/>
      <c r="B172" s="49" t="s">
        <v>63</v>
      </c>
      <c r="C172" s="120">
        <v>0.01</v>
      </c>
      <c r="D172" s="34">
        <f t="shared" si="124"/>
        <v>253870906.5</v>
      </c>
      <c r="E172" s="16">
        <f t="shared" ref="E172:M172" si="127">E119*$C$172</f>
        <v>349110000</v>
      </c>
      <c r="F172" s="16">
        <f t="shared" si="127"/>
        <v>371984400</v>
      </c>
      <c r="G172" s="16">
        <f t="shared" si="127"/>
        <v>540691200</v>
      </c>
      <c r="H172" s="16">
        <f t="shared" si="127"/>
        <v>633938400</v>
      </c>
      <c r="I172" s="16">
        <f t="shared" si="127"/>
        <v>686070000</v>
      </c>
      <c r="J172" s="16">
        <f t="shared" si="127"/>
        <v>739854000</v>
      </c>
      <c r="K172" s="16">
        <f t="shared" si="127"/>
        <v>795290400</v>
      </c>
      <c r="L172" s="16">
        <f t="shared" si="127"/>
        <v>852379200</v>
      </c>
      <c r="M172" s="34">
        <f t="shared" si="127"/>
        <v>911120400</v>
      </c>
      <c r="N172" s="63"/>
      <c r="O172" s="1"/>
    </row>
    <row r="173" spans="1:15" ht="15.75">
      <c r="A173" s="5"/>
      <c r="B173" s="49" t="s">
        <v>94</v>
      </c>
      <c r="C173" s="120"/>
      <c r="D173" s="34">
        <f t="shared" si="124"/>
        <v>960000000</v>
      </c>
      <c r="E173" s="16">
        <f>D173*1.025</f>
        <v>983999999.99999988</v>
      </c>
      <c r="F173" s="16">
        <f t="shared" ref="F173:M173" si="128">E173*1.025</f>
        <v>1008599999.9999998</v>
      </c>
      <c r="G173" s="16">
        <f t="shared" si="128"/>
        <v>1033814999.9999996</v>
      </c>
      <c r="H173" s="16">
        <f t="shared" si="128"/>
        <v>1059660374.9999995</v>
      </c>
      <c r="I173" s="16">
        <f t="shared" si="128"/>
        <v>1086151884.3749995</v>
      </c>
      <c r="J173" s="16">
        <f t="shared" si="128"/>
        <v>1113305681.4843745</v>
      </c>
      <c r="K173" s="16">
        <f t="shared" si="128"/>
        <v>1141138323.5214839</v>
      </c>
      <c r="L173" s="16">
        <f t="shared" si="128"/>
        <v>1169666781.6095209</v>
      </c>
      <c r="M173" s="34">
        <f t="shared" si="128"/>
        <v>1198908451.1497588</v>
      </c>
      <c r="N173" s="63"/>
      <c r="O173" s="1"/>
    </row>
    <row r="174" spans="1:15" ht="15.75">
      <c r="A174" s="5"/>
      <c r="B174" s="49" t="s">
        <v>49</v>
      </c>
      <c r="C174" s="120">
        <v>1.4999999999999999E-2</v>
      </c>
      <c r="D174" s="34">
        <f t="shared" si="124"/>
        <v>380806359.75</v>
      </c>
      <c r="E174" s="16">
        <f t="shared" ref="E174:M174" si="129">E119*$C$174</f>
        <v>523665000</v>
      </c>
      <c r="F174" s="16">
        <f t="shared" si="129"/>
        <v>557976600</v>
      </c>
      <c r="G174" s="16">
        <f t="shared" si="129"/>
        <v>811036800</v>
      </c>
      <c r="H174" s="16">
        <f t="shared" si="129"/>
        <v>950907600</v>
      </c>
      <c r="I174" s="16">
        <f t="shared" si="129"/>
        <v>1029105000</v>
      </c>
      <c r="J174" s="16">
        <f t="shared" si="129"/>
        <v>1109781000</v>
      </c>
      <c r="K174" s="16">
        <f t="shared" si="129"/>
        <v>1192935600</v>
      </c>
      <c r="L174" s="16">
        <f t="shared" si="129"/>
        <v>1278568800</v>
      </c>
      <c r="M174" s="34">
        <f t="shared" si="129"/>
        <v>1366680600</v>
      </c>
      <c r="N174" s="63"/>
      <c r="O174" s="1"/>
    </row>
    <row r="175" spans="1:15" ht="15.75">
      <c r="A175" s="5"/>
      <c r="B175" s="49" t="s">
        <v>88</v>
      </c>
      <c r="C175" s="120">
        <v>0.01</v>
      </c>
      <c r="D175" s="34">
        <f t="shared" si="124"/>
        <v>253870906.5</v>
      </c>
      <c r="E175" s="16">
        <f t="shared" ref="E175:M175" si="130">E119*$C$175</f>
        <v>349110000</v>
      </c>
      <c r="F175" s="16">
        <f t="shared" si="130"/>
        <v>371984400</v>
      </c>
      <c r="G175" s="16">
        <f t="shared" si="130"/>
        <v>540691200</v>
      </c>
      <c r="H175" s="16">
        <f t="shared" si="130"/>
        <v>633938400</v>
      </c>
      <c r="I175" s="16">
        <f t="shared" si="130"/>
        <v>686070000</v>
      </c>
      <c r="J175" s="16">
        <f t="shared" si="130"/>
        <v>739854000</v>
      </c>
      <c r="K175" s="16">
        <f t="shared" si="130"/>
        <v>795290400</v>
      </c>
      <c r="L175" s="16">
        <f t="shared" si="130"/>
        <v>852379200</v>
      </c>
      <c r="M175" s="34">
        <f t="shared" si="130"/>
        <v>911120400</v>
      </c>
      <c r="N175" s="63"/>
      <c r="O175" s="1"/>
    </row>
    <row r="176" spans="1:15" ht="16.5" thickBot="1">
      <c r="A176" s="5"/>
      <c r="B176" s="72"/>
      <c r="C176" s="115"/>
      <c r="D176" s="81">
        <f>SUM(D170:D175)</f>
        <v>2953096345.5</v>
      </c>
      <c r="E176" s="135">
        <f t="shared" ref="E176:M176" si="131">SUM(E170:E175)</f>
        <v>2956350000</v>
      </c>
      <c r="F176" s="135">
        <f t="shared" si="131"/>
        <v>3106662000</v>
      </c>
      <c r="G176" s="135">
        <f t="shared" si="131"/>
        <v>3987317999.9999995</v>
      </c>
      <c r="H176" s="135">
        <f t="shared" si="131"/>
        <v>4491901725</v>
      </c>
      <c r="I176" s="135">
        <f t="shared" si="131"/>
        <v>4792178701.875</v>
      </c>
      <c r="J176" s="135">
        <f t="shared" si="131"/>
        <v>5102036339.859375</v>
      </c>
      <c r="K176" s="135">
        <f t="shared" si="131"/>
        <v>5421524014.8152332</v>
      </c>
      <c r="L176" s="135">
        <f t="shared" si="131"/>
        <v>5750693157.4679585</v>
      </c>
      <c r="M176" s="81">
        <f t="shared" si="131"/>
        <v>6089597345.8011189</v>
      </c>
      <c r="N176" s="63"/>
      <c r="O176" s="1"/>
    </row>
    <row r="177" spans="1:15" ht="17.25" thickTop="1" thickBot="1">
      <c r="A177" s="5"/>
      <c r="B177" s="57" t="s">
        <v>108</v>
      </c>
      <c r="C177" s="173"/>
      <c r="D177" s="174">
        <f>D163+D168+D176</f>
        <v>6140934504</v>
      </c>
      <c r="E177" s="174">
        <f t="shared" ref="E177:M177" si="132">E163+E168+E176</f>
        <v>6818340000</v>
      </c>
      <c r="F177" s="174">
        <f t="shared" si="132"/>
        <v>7174521600</v>
      </c>
      <c r="G177" s="174">
        <f t="shared" si="132"/>
        <v>9573538800</v>
      </c>
      <c r="H177" s="174">
        <f t="shared" si="132"/>
        <v>10917347325</v>
      </c>
      <c r="I177" s="174">
        <f t="shared" si="132"/>
        <v>11926808701.875</v>
      </c>
      <c r="J177" s="174">
        <f t="shared" si="132"/>
        <v>12720722339.859375</v>
      </c>
      <c r="K177" s="174">
        <f t="shared" si="132"/>
        <v>13539137614.815233</v>
      </c>
      <c r="L177" s="174">
        <f t="shared" si="132"/>
        <v>14382105957.467958</v>
      </c>
      <c r="M177" s="174">
        <f t="shared" si="132"/>
        <v>15249680945.801119</v>
      </c>
      <c r="N177" s="63"/>
      <c r="O177" s="1"/>
    </row>
    <row r="178" spans="1:15" ht="17.25" thickTop="1" thickBot="1">
      <c r="A178" s="5"/>
      <c r="B178" s="46"/>
      <c r="C178" s="172">
        <v>0.16</v>
      </c>
      <c r="D178" s="182">
        <f t="shared" ref="D178:M178" si="133">D177/D119</f>
        <v>0.24189201467242566</v>
      </c>
      <c r="E178" s="172">
        <f t="shared" si="133"/>
        <v>0.19530635043396063</v>
      </c>
      <c r="F178" s="172">
        <f t="shared" si="133"/>
        <v>0.19287157203366592</v>
      </c>
      <c r="G178" s="172">
        <f t="shared" si="133"/>
        <v>0.17706111732537907</v>
      </c>
      <c r="H178" s="172">
        <f t="shared" si="133"/>
        <v>0.17221463986090763</v>
      </c>
      <c r="I178" s="172">
        <f t="shared" si="133"/>
        <v>0.17384244613341204</v>
      </c>
      <c r="J178" s="172">
        <f t="shared" si="133"/>
        <v>0.17193557566573101</v>
      </c>
      <c r="K178" s="172">
        <f t="shared" si="133"/>
        <v>0.1702414314923861</v>
      </c>
      <c r="L178" s="172">
        <f t="shared" si="133"/>
        <v>0.16872896426224335</v>
      </c>
      <c r="M178" s="182">
        <f t="shared" si="133"/>
        <v>0.16737284057958882</v>
      </c>
      <c r="N178" s="63"/>
      <c r="O178" s="1"/>
    </row>
    <row r="179" spans="1:15" ht="16.5" thickTop="1">
      <c r="A179" s="5"/>
      <c r="B179" s="59" t="s">
        <v>50</v>
      </c>
      <c r="C179" s="165"/>
      <c r="D179" s="41">
        <f>D131-(D177+D157)</f>
        <v>2190032805.75</v>
      </c>
      <c r="E179" s="41">
        <f t="shared" ref="E179:M179" si="134">E131-(E177+E157)</f>
        <v>7501130000</v>
      </c>
      <c r="F179" s="41">
        <f t="shared" si="134"/>
        <v>8366479200</v>
      </c>
      <c r="G179" s="41">
        <f t="shared" si="134"/>
        <v>15466875850</v>
      </c>
      <c r="H179" s="41">
        <f t="shared" si="134"/>
        <v>18444346475</v>
      </c>
      <c r="I179" s="41">
        <f t="shared" si="134"/>
        <v>18998815048.125</v>
      </c>
      <c r="J179" s="41">
        <f t="shared" si="134"/>
        <v>21103713160.140625</v>
      </c>
      <c r="K179" s="41">
        <f t="shared" si="134"/>
        <v>22607920185.184769</v>
      </c>
      <c r="L179" s="41">
        <f t="shared" si="134"/>
        <v>24590608442.532043</v>
      </c>
      <c r="M179" s="41">
        <f t="shared" si="134"/>
        <v>26910456854.198883</v>
      </c>
      <c r="N179" s="63"/>
      <c r="O179" s="1"/>
    </row>
    <row r="180" spans="1:15" ht="16.5" thickBot="1">
      <c r="A180" s="5"/>
      <c r="B180" s="60" t="s">
        <v>51</v>
      </c>
      <c r="C180" s="45">
        <v>0.28000000000000003</v>
      </c>
      <c r="D180" s="43">
        <f t="shared" ref="D180:M180" si="135">D179/D119</f>
        <v>8.62656078218242E-2</v>
      </c>
      <c r="E180" s="45">
        <f t="shared" si="135"/>
        <v>0.2148643693964653</v>
      </c>
      <c r="F180" s="45">
        <f t="shared" si="135"/>
        <v>0.22491478674912174</v>
      </c>
      <c r="G180" s="45">
        <f t="shared" si="135"/>
        <v>0.28605747328604569</v>
      </c>
      <c r="H180" s="45">
        <f t="shared" si="135"/>
        <v>0.29094856022288601</v>
      </c>
      <c r="I180" s="45">
        <f t="shared" si="135"/>
        <v>0.27692239929052431</v>
      </c>
      <c r="J180" s="45">
        <f t="shared" si="135"/>
        <v>0.28524159036973001</v>
      </c>
      <c r="K180" s="45">
        <f t="shared" si="135"/>
        <v>0.28427251460830871</v>
      </c>
      <c r="L180" s="45">
        <f t="shared" si="135"/>
        <v>0.28849376477666328</v>
      </c>
      <c r="M180" s="43">
        <f t="shared" si="135"/>
        <v>0.2953556616029987</v>
      </c>
      <c r="N180" s="63"/>
      <c r="O180" s="1"/>
    </row>
    <row r="181" spans="1:15" ht="16.5" thickTop="1">
      <c r="A181" s="5"/>
      <c r="B181" s="6"/>
      <c r="C181" s="73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14"/>
      <c r="O181" s="3"/>
    </row>
    <row r="182" spans="1:15" ht="15.75">
      <c r="B182" s="6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5" spans="1:15"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</row>
    <row r="186" spans="1:15" ht="15.75">
      <c r="A186" s="5"/>
      <c r="B186" s="9" t="s">
        <v>86</v>
      </c>
      <c r="C186" s="26" t="s">
        <v>82</v>
      </c>
      <c r="D186" s="121" t="s">
        <v>85</v>
      </c>
      <c r="E186" s="111">
        <v>2026</v>
      </c>
      <c r="F186" s="112">
        <f>E186+1</f>
        <v>2027</v>
      </c>
      <c r="G186" s="112">
        <f t="shared" ref="G186:I186" si="136">F186+1</f>
        <v>2028</v>
      </c>
      <c r="H186" s="112">
        <f t="shared" si="136"/>
        <v>2029</v>
      </c>
      <c r="I186" s="112">
        <f t="shared" si="136"/>
        <v>2030</v>
      </c>
      <c r="J186" s="112" t="s">
        <v>90</v>
      </c>
      <c r="K186" s="112" t="s">
        <v>82</v>
      </c>
      <c r="L186" s="112" t="s">
        <v>83</v>
      </c>
      <c r="M186" s="112" t="s">
        <v>84</v>
      </c>
      <c r="N186" s="63"/>
    </row>
    <row r="187" spans="1:15" ht="15.75">
      <c r="A187" s="5"/>
      <c r="B187" s="116" t="s">
        <v>77</v>
      </c>
      <c r="C187" s="118"/>
      <c r="D187" s="118"/>
      <c r="E187" s="119"/>
      <c r="F187" s="78"/>
      <c r="G187" s="78"/>
      <c r="H187" s="78"/>
      <c r="I187" s="78"/>
      <c r="J187" s="78"/>
      <c r="K187" s="78"/>
      <c r="L187" s="78"/>
      <c r="M187" s="78"/>
      <c r="N187" s="63"/>
    </row>
    <row r="188" spans="1:15" ht="15.75">
      <c r="A188" s="5"/>
      <c r="B188" s="114" t="s">
        <v>91</v>
      </c>
      <c r="C188" s="78">
        <v>10</v>
      </c>
      <c r="D188" s="120">
        <v>0.5</v>
      </c>
      <c r="E188" s="16">
        <f>E$193*$D188</f>
        <v>5000</v>
      </c>
      <c r="F188" s="16">
        <f>F$193*$D188</f>
        <v>24000</v>
      </c>
      <c r="G188" s="16">
        <f t="shared" ref="G188:I188" si="137">G$193*$D188</f>
        <v>27500</v>
      </c>
      <c r="H188" s="16">
        <f t="shared" si="137"/>
        <v>2500</v>
      </c>
      <c r="I188" s="16">
        <f t="shared" si="137"/>
        <v>1000</v>
      </c>
      <c r="J188" s="78">
        <f t="shared" ref="J188:J192" si="138">SUM(E188:I188)</f>
        <v>60000</v>
      </c>
      <c r="K188" s="16">
        <f>J188*C188</f>
        <v>600000</v>
      </c>
      <c r="L188" s="123">
        <f>M188/$C$196</f>
        <v>529411.76470588241</v>
      </c>
      <c r="M188" s="16">
        <f>K188*$C$197</f>
        <v>9000000000</v>
      </c>
      <c r="N188" s="63"/>
    </row>
    <row r="189" spans="1:15" ht="15.75">
      <c r="A189" s="5"/>
      <c r="B189" s="114" t="s">
        <v>78</v>
      </c>
      <c r="C189" s="78">
        <v>100</v>
      </c>
      <c r="D189" s="120">
        <v>0.4</v>
      </c>
      <c r="E189" s="16">
        <f t="shared" ref="E189:E192" si="139">$E$193*$D189</f>
        <v>4000</v>
      </c>
      <c r="F189" s="16">
        <f t="shared" ref="F189:I192" si="140">F$193*$D189</f>
        <v>19200</v>
      </c>
      <c r="G189" s="16">
        <f t="shared" si="140"/>
        <v>22000</v>
      </c>
      <c r="H189" s="16">
        <f t="shared" si="140"/>
        <v>2000</v>
      </c>
      <c r="I189" s="16">
        <f t="shared" si="140"/>
        <v>800</v>
      </c>
      <c r="J189" s="78">
        <f t="shared" si="138"/>
        <v>48000</v>
      </c>
      <c r="K189" s="16">
        <f t="shared" ref="K189:K192" si="141">J189*C189</f>
        <v>4800000</v>
      </c>
      <c r="L189" s="123">
        <f t="shared" ref="L189:L192" si="142">M189/$C$196</f>
        <v>4235294.1176470593</v>
      </c>
      <c r="M189" s="16">
        <f t="shared" ref="M189:M192" si="143">K189*$C$197</f>
        <v>72000000000</v>
      </c>
      <c r="N189" s="63"/>
    </row>
    <row r="190" spans="1:15" ht="15.75">
      <c r="A190" s="5"/>
      <c r="B190" s="114" t="s">
        <v>79</v>
      </c>
      <c r="C190" s="78">
        <v>500</v>
      </c>
      <c r="D190" s="120">
        <v>9.5000000000000001E-2</v>
      </c>
      <c r="E190" s="16">
        <f t="shared" si="139"/>
        <v>950</v>
      </c>
      <c r="F190" s="16">
        <f t="shared" si="140"/>
        <v>4560</v>
      </c>
      <c r="G190" s="16">
        <f t="shared" si="140"/>
        <v>5225</v>
      </c>
      <c r="H190" s="16">
        <f t="shared" si="140"/>
        <v>475</v>
      </c>
      <c r="I190" s="16">
        <f t="shared" si="140"/>
        <v>190</v>
      </c>
      <c r="J190" s="78">
        <f t="shared" si="138"/>
        <v>11400</v>
      </c>
      <c r="K190" s="16">
        <f t="shared" si="141"/>
        <v>5700000</v>
      </c>
      <c r="L190" s="123">
        <f t="shared" si="142"/>
        <v>5029411.7647058824</v>
      </c>
      <c r="M190" s="16">
        <f t="shared" si="143"/>
        <v>85500000000</v>
      </c>
      <c r="N190" s="63"/>
    </row>
    <row r="191" spans="1:15" ht="15.75">
      <c r="A191" s="5"/>
      <c r="B191" s="114" t="s">
        <v>80</v>
      </c>
      <c r="C191" s="78">
        <v>1000</v>
      </c>
      <c r="D191" s="120">
        <v>4.4999999999999997E-3</v>
      </c>
      <c r="E191" s="16">
        <f t="shared" si="139"/>
        <v>45</v>
      </c>
      <c r="F191" s="16">
        <f t="shared" si="140"/>
        <v>215.99999999999997</v>
      </c>
      <c r="G191" s="16">
        <f t="shared" si="140"/>
        <v>247.49999999999997</v>
      </c>
      <c r="H191" s="16">
        <f t="shared" si="140"/>
        <v>22.5</v>
      </c>
      <c r="I191" s="16">
        <f t="shared" si="140"/>
        <v>9</v>
      </c>
      <c r="J191" s="78">
        <f t="shared" si="138"/>
        <v>540</v>
      </c>
      <c r="K191" s="16">
        <f t="shared" si="141"/>
        <v>540000</v>
      </c>
      <c r="L191" s="123">
        <f t="shared" si="142"/>
        <v>476470.5882352941</v>
      </c>
      <c r="M191" s="16">
        <f t="shared" si="143"/>
        <v>8100000000</v>
      </c>
      <c r="N191" s="63"/>
    </row>
    <row r="192" spans="1:15" ht="15.75">
      <c r="A192" s="5"/>
      <c r="B192" s="114" t="s">
        <v>81</v>
      </c>
      <c r="C192" s="78">
        <v>10000</v>
      </c>
      <c r="D192" s="122">
        <v>5.0000000000000001E-4</v>
      </c>
      <c r="E192" s="16">
        <f t="shared" si="139"/>
        <v>5</v>
      </c>
      <c r="F192" s="16">
        <f t="shared" si="140"/>
        <v>24</v>
      </c>
      <c r="G192" s="16">
        <f t="shared" si="140"/>
        <v>27.5</v>
      </c>
      <c r="H192" s="16">
        <f t="shared" si="140"/>
        <v>2.5</v>
      </c>
      <c r="I192" s="16">
        <f t="shared" si="140"/>
        <v>1</v>
      </c>
      <c r="J192" s="78">
        <f t="shared" si="138"/>
        <v>60</v>
      </c>
      <c r="K192" s="16">
        <f t="shared" si="141"/>
        <v>600000</v>
      </c>
      <c r="L192" s="123">
        <f t="shared" si="142"/>
        <v>529411.76470588241</v>
      </c>
      <c r="M192" s="16">
        <f t="shared" si="143"/>
        <v>9000000000</v>
      </c>
      <c r="N192" s="63"/>
    </row>
    <row r="193" spans="1:14" ht="15.75">
      <c r="A193" s="5"/>
      <c r="B193" s="114"/>
      <c r="C193" s="117"/>
      <c r="D193" s="120">
        <f>SUM(D188:D192)</f>
        <v>0.99999999999999989</v>
      </c>
      <c r="E193" s="78">
        <v>10000</v>
      </c>
      <c r="F193" s="78">
        <v>48000</v>
      </c>
      <c r="G193" s="78">
        <v>55000</v>
      </c>
      <c r="H193" s="78">
        <v>5000</v>
      </c>
      <c r="I193" s="78">
        <v>2000</v>
      </c>
      <c r="J193" s="78">
        <f>SUM(E193:I193)</f>
        <v>120000</v>
      </c>
      <c r="K193" s="78">
        <f>SUM(K188:K192)</f>
        <v>12240000</v>
      </c>
      <c r="L193" s="124">
        <f t="shared" ref="L193:M193" si="144">SUM(L188:L192)</f>
        <v>10800000</v>
      </c>
      <c r="M193" s="80">
        <f t="shared" si="144"/>
        <v>183600000000</v>
      </c>
      <c r="N193" s="63"/>
    </row>
    <row r="194" spans="1:14" ht="15.75">
      <c r="A194" s="5"/>
      <c r="B194" s="114" t="s">
        <v>87</v>
      </c>
      <c r="C194" s="117"/>
      <c r="D194" s="120"/>
      <c r="E194" s="78"/>
      <c r="F194" s="78"/>
      <c r="G194" s="78"/>
      <c r="H194" s="78"/>
      <c r="I194" s="78"/>
      <c r="J194" s="78"/>
      <c r="K194" s="78"/>
      <c r="L194" s="125">
        <f>L193/J193</f>
        <v>90</v>
      </c>
      <c r="M194" s="80">
        <f>M193/J193</f>
        <v>1530000</v>
      </c>
      <c r="N194" s="63"/>
    </row>
    <row r="195" spans="1:14" ht="15.75">
      <c r="A195" s="5"/>
      <c r="B195" s="104"/>
      <c r="C195" s="126"/>
      <c r="D195" s="126"/>
      <c r="E195" s="127"/>
      <c r="F195" s="127"/>
      <c r="G195" s="127"/>
      <c r="H195" s="127"/>
      <c r="I195" s="127"/>
      <c r="J195" s="127"/>
      <c r="K195" s="127"/>
      <c r="L195" s="127"/>
      <c r="M195" s="128"/>
      <c r="N195" s="63"/>
    </row>
    <row r="196" spans="1:14" ht="15.75">
      <c r="A196" s="5"/>
      <c r="B196" s="51" t="s">
        <v>83</v>
      </c>
      <c r="C196" s="111">
        <v>17000</v>
      </c>
      <c r="D196" s="121">
        <v>0.5</v>
      </c>
      <c r="E196" s="130">
        <f>(E193*$L$194)*$D$196</f>
        <v>450000</v>
      </c>
      <c r="F196" s="130">
        <f t="shared" ref="F196:J196" si="145">(F193*$L$194)*$D$196</f>
        <v>2160000</v>
      </c>
      <c r="G196" s="130">
        <f t="shared" si="145"/>
        <v>2475000</v>
      </c>
      <c r="H196" s="130">
        <f t="shared" si="145"/>
        <v>225000</v>
      </c>
      <c r="I196" s="130">
        <f t="shared" si="145"/>
        <v>90000</v>
      </c>
      <c r="J196" s="130">
        <f t="shared" si="145"/>
        <v>5400000</v>
      </c>
      <c r="K196" s="129"/>
      <c r="L196" s="129"/>
      <c r="M196" s="77"/>
      <c r="N196" s="63"/>
    </row>
    <row r="197" spans="1:14" ht="15.75">
      <c r="A197" s="5"/>
      <c r="B197" s="51" t="s">
        <v>84</v>
      </c>
      <c r="C197" s="111">
        <v>15000</v>
      </c>
      <c r="D197" s="121">
        <v>0.5</v>
      </c>
      <c r="E197" s="111">
        <f>(E193*$M$194)*$D$197</f>
        <v>7650000000</v>
      </c>
      <c r="F197" s="111">
        <f t="shared" ref="F197:J197" si="146">(F193*$M$194)*$D$197</f>
        <v>36720000000</v>
      </c>
      <c r="G197" s="111">
        <f t="shared" si="146"/>
        <v>42075000000</v>
      </c>
      <c r="H197" s="111">
        <f t="shared" si="146"/>
        <v>3825000000</v>
      </c>
      <c r="I197" s="111">
        <f t="shared" si="146"/>
        <v>1530000000</v>
      </c>
      <c r="J197" s="111">
        <f t="shared" si="146"/>
        <v>91800000000</v>
      </c>
      <c r="K197" s="129"/>
      <c r="L197" s="129"/>
      <c r="M197" s="77"/>
      <c r="N197" s="63"/>
    </row>
    <row r="198" spans="1:14" ht="16.5" thickBot="1">
      <c r="A198" s="5"/>
      <c r="B198" s="175"/>
      <c r="C198" s="176"/>
      <c r="D198" s="176"/>
      <c r="E198" s="177"/>
      <c r="F198" s="177"/>
      <c r="G198" s="177"/>
      <c r="H198" s="177"/>
      <c r="I198" s="177"/>
      <c r="J198" s="177"/>
      <c r="K198" s="177"/>
      <c r="L198" s="177"/>
      <c r="M198" s="177"/>
      <c r="N198" s="63"/>
    </row>
    <row r="199" spans="1:14" ht="16.5" thickTop="1">
      <c r="A199" s="5"/>
      <c r="B199" s="6"/>
      <c r="C199" s="73"/>
      <c r="D199" s="47"/>
      <c r="E199" s="47"/>
      <c r="F199" s="47"/>
      <c r="G199" s="47"/>
      <c r="H199" s="47"/>
      <c r="I199" s="47"/>
      <c r="J199" s="47"/>
      <c r="K199" s="47"/>
      <c r="L199" s="47"/>
      <c r="M199" s="47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A27C9-CD71-43D8-8C83-C0B1E08F86C6}">
  <dimension ref="A1"/>
  <sheetViews>
    <sheetView workbookViewId="0">
      <selection activeCell="C32" sqref="C32"/>
    </sheetView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RedRuby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</dc:creator>
  <cp:lastModifiedBy>Graham Bristow</cp:lastModifiedBy>
  <cp:lastPrinted>2023-09-22T06:14:45Z</cp:lastPrinted>
  <dcterms:created xsi:type="dcterms:W3CDTF">2023-04-24T06:17:13Z</dcterms:created>
  <dcterms:modified xsi:type="dcterms:W3CDTF">2026-07-17T11:04:14Z</dcterms:modified>
</cp:coreProperties>
</file>